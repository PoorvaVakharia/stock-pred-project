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v/Documents/Personal Projects/personal-stock-advisor/"/>
    </mc:Choice>
  </mc:AlternateContent>
  <xr:revisionPtr revIDLastSave="0" documentId="13_ncr:1_{19ADBC59-1A76-E64A-91CF-268BA2475C73}" xr6:coauthVersionLast="47" xr6:coauthVersionMax="47" xr10:uidLastSave="{00000000-0000-0000-0000-000000000000}"/>
  <bookViews>
    <workbookView xWindow="1500" yWindow="1320" windowWidth="27640" windowHeight="16940" xr2:uid="{CDA65BA6-D72B-6A41-827D-3391F899B4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B15" i="1"/>
  <c r="G12" i="1"/>
  <c r="E12" i="1"/>
  <c r="B12" i="1"/>
  <c r="G10" i="1"/>
  <c r="H4" i="1"/>
  <c r="H3" i="1"/>
  <c r="H2" i="1"/>
</calcChain>
</file>

<file path=xl/sharedStrings.xml><?xml version="1.0" encoding="utf-8"?>
<sst xmlns="http://schemas.openxmlformats.org/spreadsheetml/2006/main" count="511" uniqueCount="194">
  <si>
    <t>Stock Name</t>
  </si>
  <si>
    <t>Current Price</t>
  </si>
  <si>
    <t>Stock Price as of</t>
  </si>
  <si>
    <t>P/E Ratio</t>
  </si>
  <si>
    <t>Earnigs Per Share</t>
  </si>
  <si>
    <t>Return on Equity</t>
  </si>
  <si>
    <t>Dividend Per Share</t>
  </si>
  <si>
    <t>Dividend Yield</t>
  </si>
  <si>
    <t>Net Income</t>
  </si>
  <si>
    <t>Operating Cashflow</t>
  </si>
  <si>
    <t>Sharpe Ratio</t>
  </si>
  <si>
    <t>Beta</t>
  </si>
  <si>
    <t>Expense Ratio</t>
  </si>
  <si>
    <t>Alpha</t>
  </si>
  <si>
    <t>Sector</t>
  </si>
  <si>
    <t>Type</t>
  </si>
  <si>
    <t>Location</t>
  </si>
  <si>
    <t>JNJ</t>
  </si>
  <si>
    <t>214M</t>
  </si>
  <si>
    <t>24.53B</t>
  </si>
  <si>
    <t>N/A</t>
  </si>
  <si>
    <t>Healthcare</t>
  </si>
  <si>
    <t>Stock</t>
  </si>
  <si>
    <t>USA</t>
  </si>
  <si>
    <t>MSFT</t>
  </si>
  <si>
    <t>72.36B</t>
  </si>
  <si>
    <t>182.94B</t>
  </si>
  <si>
    <t>Technology</t>
  </si>
  <si>
    <t>META</t>
  </si>
  <si>
    <t>276M</t>
  </si>
  <si>
    <t>115.8B</t>
  </si>
  <si>
    <t>SPHY</t>
  </si>
  <si>
    <t>11.63B</t>
  </si>
  <si>
    <t>Corporate Bonds</t>
  </si>
  <si>
    <t>ETF</t>
  </si>
  <si>
    <t>WM</t>
  </si>
  <si>
    <t>2.71B</t>
  </si>
  <si>
    <t>Industrial</t>
  </si>
  <si>
    <t>ORCL</t>
  </si>
  <si>
    <t>17.20B</t>
  </si>
  <si>
    <t>20.10B</t>
  </si>
  <si>
    <t>CMG</t>
  </si>
  <si>
    <t>1.45B</t>
  </si>
  <si>
    <t>2.10B</t>
  </si>
  <si>
    <t>Food Industry</t>
  </si>
  <si>
    <t>HD</t>
  </si>
  <si>
    <t>15.10B</t>
  </si>
  <si>
    <t>21.40B</t>
  </si>
  <si>
    <t>Tata Consultancy</t>
  </si>
  <si>
    <t>5.21 B</t>
  </si>
  <si>
    <t>5.48B</t>
  </si>
  <si>
    <t>India</t>
  </si>
  <si>
    <t>Infosys</t>
  </si>
  <si>
    <t>$3.45B</t>
  </si>
  <si>
    <t>$3.98B</t>
  </si>
  <si>
    <t>Adani Industries</t>
  </si>
  <si>
    <t>$3.82B</t>
  </si>
  <si>
    <t>$4.15B</t>
  </si>
  <si>
    <t>LIC India</t>
  </si>
  <si>
    <t>6.81B</t>
  </si>
  <si>
    <t xml:space="preserve"> $-2.74B</t>
  </si>
  <si>
    <t>Insurance</t>
  </si>
  <si>
    <t>BP</t>
  </si>
  <si>
    <t>10.80B</t>
  </si>
  <si>
    <t>24.50B</t>
  </si>
  <si>
    <t>Energy</t>
  </si>
  <si>
    <t>VNJTX</t>
  </si>
  <si>
    <t>State Bonds</t>
  </si>
  <si>
    <t>Mutual Fund</t>
  </si>
  <si>
    <t>WMT</t>
  </si>
  <si>
    <t>21.89B</t>
  </si>
  <si>
    <t>41.56B</t>
  </si>
  <si>
    <t>AAPL</t>
  </si>
  <si>
    <t>GOOGL</t>
  </si>
  <si>
    <t>AMZN</t>
  </si>
  <si>
    <t>NVDA</t>
  </si>
  <si>
    <t>TSLA</t>
  </si>
  <si>
    <t>XOM</t>
  </si>
  <si>
    <t>V</t>
  </si>
  <si>
    <t>PG</t>
  </si>
  <si>
    <t>RY</t>
  </si>
  <si>
    <t>Canada</t>
  </si>
  <si>
    <t>TD</t>
  </si>
  <si>
    <t>AZN</t>
  </si>
  <si>
    <t>UK</t>
  </si>
  <si>
    <t>SHEL</t>
  </si>
  <si>
    <t>HSBA</t>
  </si>
  <si>
    <t>ULVR</t>
  </si>
  <si>
    <t>GSK</t>
  </si>
  <si>
    <t>BATS</t>
  </si>
  <si>
    <t>RIO</t>
  </si>
  <si>
    <t>Basic Materials</t>
  </si>
  <si>
    <t>RELIANCE</t>
  </si>
  <si>
    <t>TCS</t>
  </si>
  <si>
    <t>HDFCBANK</t>
  </si>
  <si>
    <t>INFY</t>
  </si>
  <si>
    <t>ICICIBANK</t>
  </si>
  <si>
    <t>BHARTIARTL</t>
  </si>
  <si>
    <t>SBIN</t>
  </si>
  <si>
    <t>HINDUNILVR</t>
  </si>
  <si>
    <t>SPY</t>
  </si>
  <si>
    <t>VOO</t>
  </si>
  <si>
    <t>QQQ</t>
  </si>
  <si>
    <t>IWM</t>
  </si>
  <si>
    <t>VTI</t>
  </si>
  <si>
    <t>VWO</t>
  </si>
  <si>
    <t>Emerging Markets</t>
  </si>
  <si>
    <t>ISF</t>
  </si>
  <si>
    <t>NIFTYBEES</t>
  </si>
  <si>
    <t>JUNIORBEES</t>
  </si>
  <si>
    <t>VFIAX</t>
  </si>
  <si>
    <t>VTSAX</t>
  </si>
  <si>
    <t>AGTHX</t>
  </si>
  <si>
    <t>FCNTX</t>
  </si>
  <si>
    <t>13.33B</t>
  </si>
  <si>
    <t>17.57B</t>
  </si>
  <si>
    <t>17.77B</t>
  </si>
  <si>
    <t>24.08B</t>
  </si>
  <si>
    <t>38.84B</t>
  </si>
  <si>
    <t>Consumer Cyclical</t>
  </si>
  <si>
    <t>14.47B</t>
  </si>
  <si>
    <t>17.24B</t>
  </si>
  <si>
    <t>10.64B</t>
  </si>
  <si>
    <t>19.08B</t>
  </si>
  <si>
    <t>BRK.B</t>
  </si>
  <si>
    <t>15.6B</t>
  </si>
  <si>
    <t>38.34B</t>
  </si>
  <si>
    <t>Financial Services</t>
  </si>
  <si>
    <t>LLY</t>
  </si>
  <si>
    <t>4.57B</t>
  </si>
  <si>
    <t>7.11B</t>
  </si>
  <si>
    <t>64.37B</t>
  </si>
  <si>
    <t>77.53B</t>
  </si>
  <si>
    <t>61.93B</t>
  </si>
  <si>
    <t>74.54B</t>
  </si>
  <si>
    <t>26.69B</t>
  </si>
  <si>
    <t>56.62B</t>
  </si>
  <si>
    <t>61.91B</t>
  </si>
  <si>
    <t>110.89B</t>
  </si>
  <si>
    <t>Consumer Defensive</t>
  </si>
  <si>
    <t>41.18B</t>
  </si>
  <si>
    <t>97.61B</t>
  </si>
  <si>
    <t>74.45B</t>
  </si>
  <si>
    <t>166.12B</t>
  </si>
  <si>
    <t>71.79B</t>
  </si>
  <si>
    <t>110.93B</t>
  </si>
  <si>
    <t>ENB</t>
  </si>
  <si>
    <t>33.98B</t>
  </si>
  <si>
    <t>47.94B</t>
  </si>
  <si>
    <t>CNR</t>
  </si>
  <si>
    <t>77.77B</t>
  </si>
  <si>
    <t>190.34B</t>
  </si>
  <si>
    <t>Industrials</t>
  </si>
  <si>
    <t>5.07B</t>
  </si>
  <si>
    <t>7.55B</t>
  </si>
  <si>
    <t>61.17B</t>
  </si>
  <si>
    <t>87.63B</t>
  </si>
  <si>
    <t>26.34B</t>
  </si>
  <si>
    <t>35.85B</t>
  </si>
  <si>
    <t>14.77B</t>
  </si>
  <si>
    <t>30.54B</t>
  </si>
  <si>
    <t>21.38B</t>
  </si>
  <si>
    <t>43.27B</t>
  </si>
  <si>
    <t>51.02B</t>
  </si>
  <si>
    <t>80.33B</t>
  </si>
  <si>
    <t>13.77B</t>
  </si>
  <si>
    <t>32.47B</t>
  </si>
  <si>
    <t>55.66B</t>
  </si>
  <si>
    <t>112.03B</t>
  </si>
  <si>
    <t>52.95B</t>
  </si>
  <si>
    <t>100.38B</t>
  </si>
  <si>
    <t>50.86B</t>
  </si>
  <si>
    <t>112.54B</t>
  </si>
  <si>
    <t>51.99B</t>
  </si>
  <si>
    <t>70.08B</t>
  </si>
  <si>
    <t>77.37B</t>
  </si>
  <si>
    <t>189.47B</t>
  </si>
  <si>
    <t>74.96B</t>
  </si>
  <si>
    <t>155.49B</t>
  </si>
  <si>
    <t>59.52B</t>
  </si>
  <si>
    <t>123.55B</t>
  </si>
  <si>
    <t>Communication Services</t>
  </si>
  <si>
    <t>41.4B</t>
  </si>
  <si>
    <t>74.6B</t>
  </si>
  <si>
    <t>8.42B</t>
  </si>
  <si>
    <t>16.09B</t>
  </si>
  <si>
    <t>Blended</t>
  </si>
  <si>
    <t>IVV</t>
  </si>
  <si>
    <t>EFA</t>
  </si>
  <si>
    <t>Foreign Blended</t>
  </si>
  <si>
    <t>VUAG</t>
  </si>
  <si>
    <t>IUSA</t>
  </si>
  <si>
    <t>Growth</t>
  </si>
  <si>
    <t>PARWX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</si>
</sst>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00%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 vertical="top"/>
    </xf>
    <xf numFmtId="44" fontId="0" fillId="0" borderId="0" xfId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44" fontId="0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  <xf numFmtId="164" fontId="0" fillId="0" borderId="0" xfId="2" applyNumberFormat="1" applyFont="1" applyAlignment="1">
      <alignment horizontal="right"/>
    </xf>
    <xf numFmtId="10" fontId="0" fillId="0" borderId="0" xfId="0" applyNumberFormat="1"/>
    <xf numFmtId="14" fontId="2" fillId="0" borderId="0" xfId="0" applyNumberFormat="1" applyFont="1" applyAlignment="1">
      <alignment horizontal="right"/>
    </xf>
    <xf numFmtId="44" fontId="0" fillId="0" borderId="0" xfId="1" applyFont="1"/>
    <xf numFmtId="14" fontId="0" fillId="0" borderId="0" xfId="0" applyNumberFormat="1"/>
    <xf numFmtId="15" fontId="0" fillId="0" borderId="0" xfId="0" applyNumberFormat="1"/>
    <xf numFmtId="15" fontId="3" fillId="0" borderId="0" xfId="0" applyNumberFormat="1" applyFont="1"/>
    <xf numFmtId="0" fontId="3" fillId="0" borderId="0" xfId="0" applyFont="1"/>
    <xf numFmtId="44" fontId="3" fillId="0" borderId="0" xfId="1" applyFont="1"/>
    <xf numFmtId="10" fontId="3" fillId="0" borderId="0" xfId="0" applyNumberFormat="1" applyFont="1"/>
    <xf numFmtId="0" fontId="3" fillId="0" borderId="0" xfId="0" applyFont="1" applyAlignment="1">
      <alignment horizontal="right"/>
    </xf>
    <xf numFmtId="44" fontId="3" fillId="0" borderId="0" xfId="1" applyFont="1" applyAlignment="1">
      <alignment horizontal="right"/>
    </xf>
    <xf numFmtId="8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E5FCD-5405-6045-B185-807AFD7CF29B}">
  <dimension ref="A1:Q66"/>
  <sheetViews>
    <sheetView tabSelected="1" workbookViewId="0">
      <selection activeCell="F24" sqref="F24"/>
    </sheetView>
  </sheetViews>
  <sheetFormatPr baseColWidth="10" defaultRowHeight="16" x14ac:dyDescent="0.2"/>
  <sheetData>
    <row r="1" spans="1:17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">
      <c r="A2" s="4" t="s">
        <v>17</v>
      </c>
      <c r="B2" s="5">
        <v>260.35000000000002</v>
      </c>
      <c r="C2" s="6">
        <v>46248</v>
      </c>
      <c r="D2" s="7">
        <v>20</v>
      </c>
      <c r="E2" s="5">
        <v>2.9</v>
      </c>
      <c r="F2" s="8">
        <v>0.25740000000000002</v>
      </c>
      <c r="G2" s="5">
        <v>5.36</v>
      </c>
      <c r="H2" s="9">
        <f>G2/B2</f>
        <v>2.058767044363357E-2</v>
      </c>
      <c r="I2" s="7" t="s">
        <v>18</v>
      </c>
      <c r="J2" s="7" t="s">
        <v>19</v>
      </c>
      <c r="K2">
        <v>2.9</v>
      </c>
      <c r="L2">
        <v>0.23</v>
      </c>
      <c r="M2" s="10" t="s">
        <v>20</v>
      </c>
      <c r="N2" s="10">
        <v>0.224</v>
      </c>
      <c r="O2" t="s">
        <v>21</v>
      </c>
      <c r="P2" t="s">
        <v>22</v>
      </c>
      <c r="Q2" t="s">
        <v>23</v>
      </c>
    </row>
    <row r="3" spans="1:17" x14ac:dyDescent="0.2">
      <c r="A3" s="4" t="s">
        <v>24</v>
      </c>
      <c r="B3" s="5">
        <v>496</v>
      </c>
      <c r="C3" s="6">
        <v>46248</v>
      </c>
      <c r="D3" s="7">
        <v>15</v>
      </c>
      <c r="E3" s="5">
        <v>17.95</v>
      </c>
      <c r="F3" s="8">
        <v>0.34039999999999998</v>
      </c>
      <c r="G3" s="5">
        <v>3.64</v>
      </c>
      <c r="H3" s="9">
        <f t="shared" ref="H3:H4" si="0">G3/B3</f>
        <v>7.3387096774193547E-3</v>
      </c>
      <c r="I3" s="7" t="s">
        <v>25</v>
      </c>
      <c r="J3" s="7" t="s">
        <v>26</v>
      </c>
      <c r="K3">
        <v>-0.26</v>
      </c>
      <c r="L3">
        <v>1.1000000000000001</v>
      </c>
      <c r="M3" t="s">
        <v>20</v>
      </c>
      <c r="N3" s="10">
        <v>-2.3E-3</v>
      </c>
      <c r="O3" t="s">
        <v>27</v>
      </c>
      <c r="P3" t="s">
        <v>22</v>
      </c>
      <c r="Q3" t="s">
        <v>23</v>
      </c>
    </row>
    <row r="4" spans="1:17" x14ac:dyDescent="0.2">
      <c r="A4" s="4" t="s">
        <v>28</v>
      </c>
      <c r="B4" s="5">
        <v>589.35</v>
      </c>
      <c r="C4" s="11">
        <v>46248</v>
      </c>
      <c r="D4" s="7">
        <v>22.22</v>
      </c>
      <c r="E4" s="5">
        <v>26.56</v>
      </c>
      <c r="F4" s="8">
        <v>0.29730000000000001</v>
      </c>
      <c r="G4" s="5">
        <v>2.1</v>
      </c>
      <c r="H4" s="9">
        <f t="shared" si="0"/>
        <v>3.563247645711377E-3</v>
      </c>
      <c r="I4" s="7" t="s">
        <v>29</v>
      </c>
      <c r="J4" s="7" t="s">
        <v>30</v>
      </c>
      <c r="K4">
        <v>-0.7</v>
      </c>
      <c r="L4">
        <v>1.27</v>
      </c>
      <c r="M4" t="s">
        <v>20</v>
      </c>
      <c r="N4" s="10">
        <v>9.2999999999999999E-2</v>
      </c>
      <c r="O4" t="s">
        <v>27</v>
      </c>
      <c r="P4" t="s">
        <v>22</v>
      </c>
      <c r="Q4" t="s">
        <v>23</v>
      </c>
    </row>
    <row r="5" spans="1:17" x14ac:dyDescent="0.2">
      <c r="A5" s="4" t="s">
        <v>31</v>
      </c>
      <c r="B5" s="12">
        <v>23.27</v>
      </c>
      <c r="C5" s="13">
        <v>46248</v>
      </c>
      <c r="D5" s="7">
        <v>58.14</v>
      </c>
      <c r="E5" t="s">
        <v>20</v>
      </c>
      <c r="F5" t="s">
        <v>20</v>
      </c>
      <c r="G5" s="5">
        <v>1.68</v>
      </c>
      <c r="H5" s="9">
        <v>7.2700000000000001E-2</v>
      </c>
      <c r="I5" s="7" t="s">
        <v>32</v>
      </c>
      <c r="J5" s="7" t="s">
        <v>20</v>
      </c>
      <c r="K5">
        <v>1.53</v>
      </c>
      <c r="L5">
        <v>0.64</v>
      </c>
      <c r="M5" s="10">
        <v>5.0000000000000001E-4</v>
      </c>
      <c r="N5" s="10">
        <v>3.9399999999999998E-2</v>
      </c>
      <c r="O5" t="s">
        <v>33</v>
      </c>
      <c r="P5" t="s">
        <v>34</v>
      </c>
      <c r="Q5" t="s">
        <v>23</v>
      </c>
    </row>
    <row r="6" spans="1:17" x14ac:dyDescent="0.2">
      <c r="A6" s="4" t="s">
        <v>35</v>
      </c>
      <c r="B6" s="12">
        <v>224.92</v>
      </c>
      <c r="C6" s="13">
        <v>46248</v>
      </c>
      <c r="D6" s="7">
        <v>31.84</v>
      </c>
      <c r="E6" s="12">
        <v>7.06</v>
      </c>
      <c r="F6" t="s">
        <v>20</v>
      </c>
      <c r="G6" s="5">
        <v>3.78</v>
      </c>
      <c r="H6" s="9">
        <v>1.6799999999999999E-2</v>
      </c>
      <c r="I6" s="7" t="s">
        <v>36</v>
      </c>
      <c r="J6" s="7"/>
      <c r="K6">
        <v>7.0000000000000007E-2</v>
      </c>
      <c r="L6">
        <v>0.44</v>
      </c>
      <c r="M6" t="s">
        <v>20</v>
      </c>
      <c r="N6" s="10">
        <v>4.8500000000000001E-2</v>
      </c>
      <c r="O6" t="s">
        <v>37</v>
      </c>
      <c r="P6" t="s">
        <v>22</v>
      </c>
      <c r="Q6" t="s">
        <v>23</v>
      </c>
    </row>
    <row r="7" spans="1:17" x14ac:dyDescent="0.2">
      <c r="A7" s="4" t="s">
        <v>38</v>
      </c>
      <c r="B7" s="12">
        <v>173.5</v>
      </c>
      <c r="C7" s="14">
        <v>46254</v>
      </c>
      <c r="D7">
        <v>28.45</v>
      </c>
      <c r="E7" s="12">
        <v>6.1</v>
      </c>
      <c r="F7" s="10">
        <v>0.254</v>
      </c>
      <c r="G7" s="12">
        <v>1.6</v>
      </c>
      <c r="H7" s="10">
        <v>9.1999999999999998E-3</v>
      </c>
      <c r="I7" s="7" t="s">
        <v>39</v>
      </c>
      <c r="J7" s="7" t="s">
        <v>40</v>
      </c>
      <c r="K7">
        <v>1.1200000000000001</v>
      </c>
      <c r="L7">
        <v>1.24</v>
      </c>
      <c r="M7" s="10" t="s">
        <v>20</v>
      </c>
      <c r="N7" s="10">
        <v>2.1499999999999998E-2</v>
      </c>
      <c r="O7" t="s">
        <v>27</v>
      </c>
      <c r="P7" t="s">
        <v>22</v>
      </c>
      <c r="Q7" t="s">
        <v>23</v>
      </c>
    </row>
    <row r="8" spans="1:17" x14ac:dyDescent="0.2">
      <c r="A8" s="4" t="s">
        <v>41</v>
      </c>
      <c r="B8" s="12">
        <v>52.4</v>
      </c>
      <c r="C8" s="14">
        <v>46254</v>
      </c>
      <c r="D8">
        <v>48.2</v>
      </c>
      <c r="E8" s="12">
        <v>1.0900000000000001</v>
      </c>
      <c r="F8" s="10">
        <v>0.3115</v>
      </c>
      <c r="G8" s="12">
        <v>0</v>
      </c>
      <c r="H8" s="10">
        <v>0</v>
      </c>
      <c r="I8" s="7" t="s">
        <v>42</v>
      </c>
      <c r="J8" s="7" t="s">
        <v>43</v>
      </c>
      <c r="K8">
        <v>-0.45</v>
      </c>
      <c r="L8">
        <v>1.32</v>
      </c>
      <c r="M8" s="10" t="s">
        <v>20</v>
      </c>
      <c r="N8" s="10">
        <v>-1.7999999999999999E-2</v>
      </c>
      <c r="O8" t="s">
        <v>44</v>
      </c>
      <c r="P8" t="s">
        <v>22</v>
      </c>
      <c r="Q8" t="s">
        <v>23</v>
      </c>
    </row>
    <row r="9" spans="1:17" x14ac:dyDescent="0.2">
      <c r="A9" s="4" t="s">
        <v>45</v>
      </c>
      <c r="B9" s="12">
        <v>362.1</v>
      </c>
      <c r="C9" s="14">
        <v>46254</v>
      </c>
      <c r="D9">
        <v>23.15</v>
      </c>
      <c r="E9" s="12">
        <v>15.64</v>
      </c>
      <c r="F9" s="10">
        <v>1.153</v>
      </c>
      <c r="G9" s="12">
        <v>9</v>
      </c>
      <c r="H9" s="10">
        <v>2.4899999999999999E-2</v>
      </c>
      <c r="I9" s="7" t="s">
        <v>46</v>
      </c>
      <c r="J9" s="7" t="s">
        <v>47</v>
      </c>
      <c r="K9">
        <v>0.54</v>
      </c>
      <c r="L9">
        <v>0.96</v>
      </c>
      <c r="M9" s="10" t="s">
        <v>20</v>
      </c>
      <c r="N9" s="10">
        <v>4.4999999999999997E-3</v>
      </c>
      <c r="O9" t="s">
        <v>37</v>
      </c>
      <c r="P9" t="s">
        <v>22</v>
      </c>
      <c r="Q9" t="s">
        <v>23</v>
      </c>
    </row>
    <row r="10" spans="1:17" x14ac:dyDescent="0.2">
      <c r="A10" s="1" t="s">
        <v>48</v>
      </c>
      <c r="B10" s="12">
        <v>23.98</v>
      </c>
      <c r="C10" s="15">
        <v>46254</v>
      </c>
      <c r="D10" s="16">
        <v>16.64</v>
      </c>
      <c r="E10" s="17">
        <v>1.44</v>
      </c>
      <c r="F10" s="18">
        <v>0.45590000000000003</v>
      </c>
      <c r="G10" s="17">
        <f>0.68</f>
        <v>0.68</v>
      </c>
      <c r="H10" s="18">
        <v>2.8400000000000002E-2</v>
      </c>
      <c r="I10" s="19" t="s">
        <v>49</v>
      </c>
      <c r="J10" s="19" t="s">
        <v>50</v>
      </c>
      <c r="K10" s="16">
        <v>0.52</v>
      </c>
      <c r="L10" s="16">
        <v>0.16</v>
      </c>
      <c r="M10" s="18" t="s">
        <v>20</v>
      </c>
      <c r="N10" s="18">
        <v>4.1200000000000001E-2</v>
      </c>
      <c r="O10" t="s">
        <v>27</v>
      </c>
      <c r="P10" t="s">
        <v>22</v>
      </c>
      <c r="Q10" t="s">
        <v>51</v>
      </c>
    </row>
    <row r="11" spans="1:17" x14ac:dyDescent="0.2">
      <c r="A11" s="4" t="s">
        <v>52</v>
      </c>
      <c r="B11" s="17">
        <v>11.83</v>
      </c>
      <c r="C11" s="15">
        <v>46254</v>
      </c>
      <c r="D11" s="16">
        <v>15.26</v>
      </c>
      <c r="E11" s="17">
        <v>0.77500000000000002</v>
      </c>
      <c r="F11" s="18">
        <v>0.316</v>
      </c>
      <c r="G11" s="17">
        <v>0.503</v>
      </c>
      <c r="H11" s="18">
        <v>4.2500000000000003E-2</v>
      </c>
      <c r="I11" s="19" t="s">
        <v>53</v>
      </c>
      <c r="J11" s="20" t="s">
        <v>54</v>
      </c>
      <c r="K11" s="16">
        <v>1.1499999999999999</v>
      </c>
      <c r="L11" s="16">
        <v>1.07</v>
      </c>
      <c r="M11" s="18" t="s">
        <v>20</v>
      </c>
      <c r="N11" s="18">
        <v>0.14749999999999999</v>
      </c>
      <c r="O11" t="s">
        <v>27</v>
      </c>
      <c r="P11" t="s">
        <v>22</v>
      </c>
      <c r="Q11" t="s">
        <v>51</v>
      </c>
    </row>
    <row r="12" spans="1:17" x14ac:dyDescent="0.2">
      <c r="A12" s="4" t="s">
        <v>55</v>
      </c>
      <c r="B12" s="17">
        <f>35.74</f>
        <v>35.74</v>
      </c>
      <c r="C12" s="15">
        <v>46254</v>
      </c>
      <c r="D12" s="16">
        <v>52.17</v>
      </c>
      <c r="E12" s="17">
        <f>0.69</f>
        <v>0.69</v>
      </c>
      <c r="F12" s="18">
        <v>0.1507</v>
      </c>
      <c r="G12" s="17">
        <f>0.02</f>
        <v>0.02</v>
      </c>
      <c r="H12" s="18">
        <v>4.0000000000000002E-4</v>
      </c>
      <c r="I12" s="19" t="s">
        <v>56</v>
      </c>
      <c r="J12" s="19" t="s">
        <v>57</v>
      </c>
      <c r="K12" s="16">
        <v>0.35</v>
      </c>
      <c r="L12" s="16">
        <v>0.81</v>
      </c>
      <c r="M12" s="18" t="s">
        <v>20</v>
      </c>
      <c r="N12" s="18">
        <v>1.15E-2</v>
      </c>
      <c r="O12" t="s">
        <v>37</v>
      </c>
      <c r="P12" t="s">
        <v>22</v>
      </c>
      <c r="Q12" t="s">
        <v>51</v>
      </c>
    </row>
    <row r="13" spans="1:17" x14ac:dyDescent="0.2">
      <c r="A13" s="4" t="s">
        <v>58</v>
      </c>
      <c r="B13" s="17">
        <v>4.42</v>
      </c>
      <c r="C13" s="15">
        <v>46254</v>
      </c>
      <c r="D13" s="16">
        <v>6.39</v>
      </c>
      <c r="E13" s="17">
        <v>0.69</v>
      </c>
      <c r="F13" s="18">
        <v>0.378</v>
      </c>
      <c r="G13" s="17">
        <v>0.1</v>
      </c>
      <c r="H13" s="18">
        <v>2.3699999999999999E-2</v>
      </c>
      <c r="I13" s="19" t="s">
        <v>59</v>
      </c>
      <c r="J13" s="19" t="s">
        <v>60</v>
      </c>
      <c r="K13" s="16">
        <v>0.52</v>
      </c>
      <c r="L13" s="16">
        <v>0.54</v>
      </c>
      <c r="M13" s="18" t="s">
        <v>20</v>
      </c>
      <c r="N13" s="18">
        <v>4.1200000000000001E-2</v>
      </c>
      <c r="O13" t="s">
        <v>61</v>
      </c>
      <c r="P13" t="s">
        <v>22</v>
      </c>
      <c r="Q13" t="s">
        <v>51</v>
      </c>
    </row>
    <row r="14" spans="1:17" x14ac:dyDescent="0.2">
      <c r="A14" s="4" t="s">
        <v>62</v>
      </c>
      <c r="B14" s="12">
        <v>30.15</v>
      </c>
      <c r="C14" s="14">
        <v>46254</v>
      </c>
      <c r="D14">
        <v>7.8</v>
      </c>
      <c r="E14" s="12">
        <v>3.86</v>
      </c>
      <c r="F14" s="10">
        <v>0.112</v>
      </c>
      <c r="G14" s="12">
        <v>1.92</v>
      </c>
      <c r="H14" s="10">
        <v>6.3700000000000007E-2</v>
      </c>
      <c r="I14" s="7" t="s">
        <v>63</v>
      </c>
      <c r="J14" s="7" t="s">
        <v>64</v>
      </c>
      <c r="K14">
        <v>-0.15</v>
      </c>
      <c r="L14">
        <v>0.85</v>
      </c>
      <c r="M14" s="10" t="s">
        <v>20</v>
      </c>
      <c r="N14" s="10">
        <v>-9.4999999999999998E-3</v>
      </c>
      <c r="O14" t="s">
        <v>65</v>
      </c>
      <c r="P14" t="s">
        <v>22</v>
      </c>
      <c r="Q14" t="s">
        <v>51</v>
      </c>
    </row>
    <row r="15" spans="1:17" x14ac:dyDescent="0.2">
      <c r="A15" s="4" t="s">
        <v>66</v>
      </c>
      <c r="B15" s="17">
        <f>11.25</f>
        <v>11.25</v>
      </c>
      <c r="C15" s="15">
        <v>46254</v>
      </c>
      <c r="D15" s="16" t="s">
        <v>20</v>
      </c>
      <c r="E15" s="16" t="s">
        <v>20</v>
      </c>
      <c r="F15" s="16" t="s">
        <v>20</v>
      </c>
      <c r="G15" s="17">
        <f>0.24</f>
        <v>0.24</v>
      </c>
      <c r="H15" s="18">
        <v>3.8600000000000002E-2</v>
      </c>
      <c r="I15" s="16" t="s">
        <v>20</v>
      </c>
      <c r="J15" s="16" t="s">
        <v>20</v>
      </c>
      <c r="K15" s="16">
        <v>0.57999999999999996</v>
      </c>
      <c r="L15" s="16">
        <v>1.1599999999999999</v>
      </c>
      <c r="M15" s="18">
        <v>1.4E-3</v>
      </c>
      <c r="N15" s="18">
        <v>1.8E-3</v>
      </c>
      <c r="O15" t="s">
        <v>67</v>
      </c>
      <c r="P15" t="s">
        <v>68</v>
      </c>
      <c r="Q15" t="s">
        <v>23</v>
      </c>
    </row>
    <row r="16" spans="1:17" x14ac:dyDescent="0.2">
      <c r="A16" s="4" t="s">
        <v>69</v>
      </c>
      <c r="B16" s="12">
        <v>103.84</v>
      </c>
      <c r="C16" s="13">
        <v>46248</v>
      </c>
      <c r="D16">
        <v>36.58</v>
      </c>
      <c r="E16" s="12">
        <v>2.84</v>
      </c>
      <c r="F16" s="10">
        <v>0.24099999999999999</v>
      </c>
      <c r="G16" s="5">
        <v>0.99</v>
      </c>
      <c r="H16" s="9">
        <v>9.4999999999999998E-3</v>
      </c>
      <c r="I16" s="7" t="s">
        <v>70</v>
      </c>
      <c r="J16" s="7" t="s">
        <v>71</v>
      </c>
      <c r="K16">
        <v>0.41</v>
      </c>
      <c r="L16">
        <v>0.61</v>
      </c>
      <c r="M16" t="s">
        <v>20</v>
      </c>
      <c r="N16" s="10">
        <v>5.0000000000000001E-3</v>
      </c>
      <c r="O16" t="s">
        <v>37</v>
      </c>
      <c r="P16" t="s">
        <v>22</v>
      </c>
      <c r="Q16" t="s">
        <v>23</v>
      </c>
    </row>
    <row r="17" spans="1:17" x14ac:dyDescent="0.2">
      <c r="A17" t="s">
        <v>72</v>
      </c>
      <c r="B17" s="21">
        <v>463.08</v>
      </c>
      <c r="C17" s="13">
        <v>46248</v>
      </c>
      <c r="D17">
        <v>19.399999999999999</v>
      </c>
      <c r="E17" s="21">
        <v>23.87</v>
      </c>
      <c r="F17" s="10">
        <v>0.36159999999999998</v>
      </c>
      <c r="G17" s="21">
        <v>14.79</v>
      </c>
      <c r="H17" s="10">
        <v>3.1940000000000003E-2</v>
      </c>
      <c r="I17" t="s">
        <v>114</v>
      </c>
      <c r="J17" t="s">
        <v>115</v>
      </c>
      <c r="K17">
        <v>-0.28999999999999998</v>
      </c>
      <c r="L17">
        <v>1.4</v>
      </c>
      <c r="M17" t="s">
        <v>20</v>
      </c>
      <c r="N17" s="10">
        <v>7.0199999999999999E-2</v>
      </c>
      <c r="O17" t="s">
        <v>27</v>
      </c>
      <c r="P17" t="s">
        <v>22</v>
      </c>
      <c r="Q17" t="s">
        <v>23</v>
      </c>
    </row>
    <row r="18" spans="1:17" x14ac:dyDescent="0.2">
      <c r="A18" t="s">
        <v>73</v>
      </c>
      <c r="B18" s="21">
        <v>68.42</v>
      </c>
      <c r="C18" s="13">
        <v>46248</v>
      </c>
      <c r="D18">
        <v>27.7</v>
      </c>
      <c r="E18" s="21">
        <v>2.4700000000000002</v>
      </c>
      <c r="F18" s="10">
        <v>0.44009999999999999</v>
      </c>
      <c r="G18" s="21">
        <v>2.91</v>
      </c>
      <c r="H18" s="10">
        <v>4.2459999999999998E-2</v>
      </c>
      <c r="I18" t="s">
        <v>116</v>
      </c>
      <c r="J18" t="s">
        <v>117</v>
      </c>
      <c r="K18">
        <v>0.18</v>
      </c>
      <c r="L18">
        <v>0.56000000000000005</v>
      </c>
      <c r="M18" t="s">
        <v>20</v>
      </c>
      <c r="N18" s="10">
        <v>5.5E-2</v>
      </c>
      <c r="O18" t="s">
        <v>27</v>
      </c>
      <c r="P18" t="s">
        <v>22</v>
      </c>
      <c r="Q18" t="s">
        <v>23</v>
      </c>
    </row>
    <row r="19" spans="1:17" x14ac:dyDescent="0.2">
      <c r="A19" t="s">
        <v>74</v>
      </c>
      <c r="B19" s="21">
        <v>180.96</v>
      </c>
      <c r="C19" s="13">
        <v>46248</v>
      </c>
      <c r="D19">
        <v>20.8</v>
      </c>
      <c r="E19" s="21">
        <v>8.6999999999999993</v>
      </c>
      <c r="F19" s="10">
        <v>0.32190000000000002</v>
      </c>
      <c r="G19" s="21">
        <v>2.04</v>
      </c>
      <c r="H19" s="10">
        <v>1.128E-2</v>
      </c>
      <c r="I19" t="s">
        <v>117</v>
      </c>
      <c r="J19" t="s">
        <v>118</v>
      </c>
      <c r="K19">
        <v>1.19</v>
      </c>
      <c r="L19">
        <v>1.28</v>
      </c>
      <c r="M19" t="s">
        <v>20</v>
      </c>
      <c r="N19" s="10">
        <v>-1.01E-2</v>
      </c>
      <c r="O19" t="s">
        <v>119</v>
      </c>
      <c r="P19" t="s">
        <v>22</v>
      </c>
      <c r="Q19" t="s">
        <v>23</v>
      </c>
    </row>
    <row r="20" spans="1:17" x14ac:dyDescent="0.2">
      <c r="A20" t="s">
        <v>75</v>
      </c>
      <c r="B20" s="21">
        <v>357.93</v>
      </c>
      <c r="C20" s="13">
        <v>46248</v>
      </c>
      <c r="D20">
        <v>22.9</v>
      </c>
      <c r="E20" s="21">
        <v>15.63</v>
      </c>
      <c r="F20" s="10">
        <v>0.1353</v>
      </c>
      <c r="G20" s="21">
        <v>11.58</v>
      </c>
      <c r="H20" s="10">
        <v>3.2340000000000001E-2</v>
      </c>
      <c r="I20" t="s">
        <v>120</v>
      </c>
      <c r="J20" t="s">
        <v>121</v>
      </c>
      <c r="K20">
        <v>3.01</v>
      </c>
      <c r="L20">
        <v>1.55</v>
      </c>
      <c r="M20" t="s">
        <v>20</v>
      </c>
      <c r="N20" s="10">
        <v>0.11169999999999999</v>
      </c>
      <c r="O20" t="s">
        <v>27</v>
      </c>
      <c r="P20" t="s">
        <v>22</v>
      </c>
      <c r="Q20" t="s">
        <v>23</v>
      </c>
    </row>
    <row r="21" spans="1:17" x14ac:dyDescent="0.2">
      <c r="A21" t="s">
        <v>28</v>
      </c>
      <c r="B21" s="21">
        <v>74.8</v>
      </c>
      <c r="C21" s="13">
        <v>46248</v>
      </c>
      <c r="D21">
        <v>17.600000000000001</v>
      </c>
      <c r="E21" s="21">
        <v>4.25</v>
      </c>
      <c r="F21" s="10">
        <v>0.3458</v>
      </c>
      <c r="G21" s="21">
        <v>1.86</v>
      </c>
      <c r="H21" s="10">
        <v>2.4809999999999999E-2</v>
      </c>
      <c r="I21" t="s">
        <v>122</v>
      </c>
      <c r="J21" t="s">
        <v>123</v>
      </c>
      <c r="K21">
        <v>-0.37</v>
      </c>
      <c r="L21">
        <v>1.46</v>
      </c>
      <c r="M21" t="s">
        <v>20</v>
      </c>
      <c r="N21" s="10">
        <v>1.8E-3</v>
      </c>
      <c r="O21" t="s">
        <v>27</v>
      </c>
      <c r="P21" t="s">
        <v>22</v>
      </c>
      <c r="Q21" t="s">
        <v>23</v>
      </c>
    </row>
    <row r="22" spans="1:17" x14ac:dyDescent="0.2">
      <c r="A22" t="s">
        <v>124</v>
      </c>
      <c r="B22" s="21">
        <v>243.92</v>
      </c>
      <c r="C22" s="13">
        <v>46248</v>
      </c>
      <c r="D22">
        <v>26.6</v>
      </c>
      <c r="E22" s="21">
        <v>9.17</v>
      </c>
      <c r="F22" s="10">
        <v>0.29160000000000003</v>
      </c>
      <c r="G22" s="21">
        <v>7.22</v>
      </c>
      <c r="H22" s="10">
        <v>2.9600000000000001E-2</v>
      </c>
      <c r="I22" t="s">
        <v>125</v>
      </c>
      <c r="J22" t="s">
        <v>126</v>
      </c>
      <c r="K22">
        <v>2.37</v>
      </c>
      <c r="L22">
        <v>1.51</v>
      </c>
      <c r="M22" t="s">
        <v>20</v>
      </c>
      <c r="N22" s="10">
        <v>0.129</v>
      </c>
      <c r="O22" t="s">
        <v>127</v>
      </c>
      <c r="P22" t="s">
        <v>22</v>
      </c>
      <c r="Q22" t="s">
        <v>23</v>
      </c>
    </row>
    <row r="23" spans="1:17" x14ac:dyDescent="0.2">
      <c r="A23" t="s">
        <v>128</v>
      </c>
      <c r="B23" s="21">
        <v>577.67999999999995</v>
      </c>
      <c r="C23" s="13">
        <v>46248</v>
      </c>
      <c r="D23">
        <v>24.9</v>
      </c>
      <c r="E23" s="21">
        <v>23.2</v>
      </c>
      <c r="F23" s="10">
        <v>0.1492</v>
      </c>
      <c r="G23" s="21">
        <v>7.98</v>
      </c>
      <c r="H23" s="10">
        <v>1.3820000000000001E-2</v>
      </c>
      <c r="I23" t="s">
        <v>129</v>
      </c>
      <c r="J23" t="s">
        <v>130</v>
      </c>
      <c r="K23">
        <v>0.94</v>
      </c>
      <c r="L23">
        <v>0.51</v>
      </c>
      <c r="M23" t="s">
        <v>20</v>
      </c>
      <c r="N23" s="10">
        <v>0.1157</v>
      </c>
      <c r="O23" t="s">
        <v>21</v>
      </c>
      <c r="P23" t="s">
        <v>22</v>
      </c>
      <c r="Q23" t="s">
        <v>23</v>
      </c>
    </row>
    <row r="24" spans="1:17" x14ac:dyDescent="0.2">
      <c r="A24" t="s">
        <v>78</v>
      </c>
      <c r="B24" s="21">
        <v>159.88999999999999</v>
      </c>
      <c r="C24" s="13">
        <v>46248</v>
      </c>
      <c r="D24">
        <v>18.899999999999999</v>
      </c>
      <c r="E24" s="21">
        <v>8.4600000000000009</v>
      </c>
      <c r="F24" s="10">
        <v>0.29909999999999998</v>
      </c>
      <c r="G24" s="21">
        <v>1.81</v>
      </c>
      <c r="H24" s="10">
        <v>1.1339999999999999E-2</v>
      </c>
      <c r="I24" t="s">
        <v>131</v>
      </c>
      <c r="J24" t="s">
        <v>132</v>
      </c>
      <c r="K24">
        <v>3.15</v>
      </c>
      <c r="L24">
        <v>1.26</v>
      </c>
      <c r="M24" t="s">
        <v>20</v>
      </c>
      <c r="N24" s="10">
        <v>-1.03E-2</v>
      </c>
      <c r="O24" t="s">
        <v>127</v>
      </c>
      <c r="P24" t="s">
        <v>22</v>
      </c>
      <c r="Q24" t="s">
        <v>23</v>
      </c>
    </row>
    <row r="25" spans="1:17" x14ac:dyDescent="0.2">
      <c r="A25" t="s">
        <v>76</v>
      </c>
      <c r="B25" s="21">
        <v>209.68</v>
      </c>
      <c r="C25" s="13">
        <v>46248</v>
      </c>
      <c r="D25">
        <v>10.1</v>
      </c>
      <c r="E25" s="21">
        <v>20.76</v>
      </c>
      <c r="F25" s="10">
        <v>0.3533</v>
      </c>
      <c r="G25" s="21">
        <v>7.93</v>
      </c>
      <c r="H25" s="10">
        <v>3.7810000000000003E-2</v>
      </c>
      <c r="I25" t="s">
        <v>133</v>
      </c>
      <c r="J25" t="s">
        <v>134</v>
      </c>
      <c r="K25">
        <v>0.83</v>
      </c>
      <c r="L25">
        <v>0.27</v>
      </c>
      <c r="M25" t="s">
        <v>20</v>
      </c>
      <c r="N25" s="10">
        <v>0.1226</v>
      </c>
      <c r="O25" t="s">
        <v>119</v>
      </c>
      <c r="P25" t="s">
        <v>22</v>
      </c>
      <c r="Q25" t="s">
        <v>23</v>
      </c>
    </row>
    <row r="26" spans="1:17" x14ac:dyDescent="0.2">
      <c r="A26" t="s">
        <v>77</v>
      </c>
      <c r="B26" s="21">
        <v>246.02</v>
      </c>
      <c r="C26" s="13">
        <v>46248</v>
      </c>
      <c r="D26">
        <v>25.6</v>
      </c>
      <c r="E26" s="21">
        <v>9.61</v>
      </c>
      <c r="F26" s="10">
        <v>0.14099999999999999</v>
      </c>
      <c r="G26" s="21">
        <v>4.67</v>
      </c>
      <c r="H26" s="10">
        <v>1.899E-2</v>
      </c>
      <c r="I26" t="s">
        <v>135</v>
      </c>
      <c r="J26" t="s">
        <v>136</v>
      </c>
      <c r="K26">
        <v>1.86</v>
      </c>
      <c r="L26">
        <v>1.43</v>
      </c>
      <c r="M26" t="s">
        <v>20</v>
      </c>
      <c r="N26" s="10">
        <v>4.4400000000000002E-2</v>
      </c>
      <c r="O26" t="s">
        <v>65</v>
      </c>
      <c r="P26" t="s">
        <v>22</v>
      </c>
      <c r="Q26" t="s">
        <v>23</v>
      </c>
    </row>
    <row r="27" spans="1:17" x14ac:dyDescent="0.2">
      <c r="A27" t="s">
        <v>69</v>
      </c>
      <c r="B27" s="21">
        <v>239.2</v>
      </c>
      <c r="C27" s="13">
        <v>46248</v>
      </c>
      <c r="D27">
        <v>13</v>
      </c>
      <c r="E27" s="21">
        <v>18.399999999999999</v>
      </c>
      <c r="F27" s="10">
        <v>0.37109999999999999</v>
      </c>
      <c r="G27" s="21">
        <v>7.24</v>
      </c>
      <c r="H27" s="10">
        <v>3.0259999999999999E-2</v>
      </c>
      <c r="I27" t="s">
        <v>137</v>
      </c>
      <c r="J27" t="s">
        <v>138</v>
      </c>
      <c r="K27">
        <v>1.43</v>
      </c>
      <c r="L27">
        <v>0.74</v>
      </c>
      <c r="M27" t="s">
        <v>20</v>
      </c>
      <c r="N27" s="10">
        <v>-4.4900000000000002E-2</v>
      </c>
      <c r="O27" t="s">
        <v>139</v>
      </c>
      <c r="P27" t="s">
        <v>22</v>
      </c>
      <c r="Q27" t="s">
        <v>23</v>
      </c>
    </row>
    <row r="28" spans="1:17" x14ac:dyDescent="0.2">
      <c r="A28" t="s">
        <v>79</v>
      </c>
      <c r="B28" s="21">
        <v>34.54</v>
      </c>
      <c r="C28" s="13">
        <v>46248</v>
      </c>
      <c r="D28">
        <v>12.7</v>
      </c>
      <c r="E28" s="21">
        <v>2.72</v>
      </c>
      <c r="F28" s="10">
        <v>0.33</v>
      </c>
      <c r="G28" s="21">
        <v>0.66</v>
      </c>
      <c r="H28" s="10">
        <v>1.915E-2</v>
      </c>
      <c r="I28" t="s">
        <v>140</v>
      </c>
      <c r="J28" t="s">
        <v>141</v>
      </c>
      <c r="K28">
        <v>0.42</v>
      </c>
      <c r="L28">
        <v>0.72</v>
      </c>
      <c r="M28" t="s">
        <v>20</v>
      </c>
      <c r="N28" s="10">
        <v>0.1011</v>
      </c>
      <c r="O28" t="s">
        <v>139</v>
      </c>
      <c r="P28" t="s">
        <v>22</v>
      </c>
      <c r="Q28" t="s">
        <v>23</v>
      </c>
    </row>
    <row r="29" spans="1:17" x14ac:dyDescent="0.2">
      <c r="A29" t="s">
        <v>80</v>
      </c>
      <c r="B29" s="21">
        <v>59.19</v>
      </c>
      <c r="C29" s="13">
        <v>46248</v>
      </c>
      <c r="D29">
        <v>15.7</v>
      </c>
      <c r="E29" s="21">
        <v>3.77</v>
      </c>
      <c r="F29" s="10">
        <v>0.21560000000000001</v>
      </c>
      <c r="G29" s="21">
        <v>0.73</v>
      </c>
      <c r="H29" s="10">
        <v>1.225E-2</v>
      </c>
      <c r="I29" t="s">
        <v>142</v>
      </c>
      <c r="J29" t="s">
        <v>143</v>
      </c>
      <c r="K29">
        <v>1.84</v>
      </c>
      <c r="L29">
        <v>1.41</v>
      </c>
      <c r="M29" t="s">
        <v>20</v>
      </c>
      <c r="N29" s="10">
        <v>0.11070000000000001</v>
      </c>
      <c r="O29" t="s">
        <v>127</v>
      </c>
      <c r="P29" t="s">
        <v>22</v>
      </c>
      <c r="Q29" t="s">
        <v>81</v>
      </c>
    </row>
    <row r="30" spans="1:17" x14ac:dyDescent="0.2">
      <c r="A30" t="s">
        <v>82</v>
      </c>
      <c r="B30" s="21">
        <v>331.19</v>
      </c>
      <c r="C30" s="13">
        <v>46248</v>
      </c>
      <c r="D30">
        <v>14.7</v>
      </c>
      <c r="E30" s="21">
        <v>22.53</v>
      </c>
      <c r="F30" s="10">
        <v>0.29799999999999999</v>
      </c>
      <c r="G30" s="21">
        <v>13.69</v>
      </c>
      <c r="H30" s="10">
        <v>4.1329999999999999E-2</v>
      </c>
      <c r="I30" t="s">
        <v>144</v>
      </c>
      <c r="J30" t="s">
        <v>145</v>
      </c>
      <c r="K30">
        <v>-0.09</v>
      </c>
      <c r="L30">
        <v>0.44</v>
      </c>
      <c r="M30" t="s">
        <v>20</v>
      </c>
      <c r="N30" s="10">
        <v>3.5400000000000001E-2</v>
      </c>
      <c r="O30" t="s">
        <v>127</v>
      </c>
      <c r="P30" t="s">
        <v>22</v>
      </c>
      <c r="Q30" t="s">
        <v>81</v>
      </c>
    </row>
    <row r="31" spans="1:17" x14ac:dyDescent="0.2">
      <c r="A31" t="s">
        <v>146</v>
      </c>
      <c r="B31" s="21">
        <v>664.9</v>
      </c>
      <c r="C31" s="13">
        <v>46248</v>
      </c>
      <c r="D31">
        <v>30.5</v>
      </c>
      <c r="E31" s="21">
        <v>21.8</v>
      </c>
      <c r="F31" s="10">
        <v>0.12230000000000001</v>
      </c>
      <c r="G31" s="21">
        <v>18.61</v>
      </c>
      <c r="H31" s="10">
        <v>2.7980000000000001E-2</v>
      </c>
      <c r="I31" t="s">
        <v>147</v>
      </c>
      <c r="J31" t="s">
        <v>148</v>
      </c>
      <c r="K31">
        <v>-0.06</v>
      </c>
      <c r="L31">
        <v>0.61</v>
      </c>
      <c r="M31" t="s">
        <v>20</v>
      </c>
      <c r="N31" s="10">
        <v>0.1386</v>
      </c>
      <c r="O31" t="s">
        <v>65</v>
      </c>
      <c r="P31" t="s">
        <v>22</v>
      </c>
      <c r="Q31" t="s">
        <v>81</v>
      </c>
    </row>
    <row r="32" spans="1:17" x14ac:dyDescent="0.2">
      <c r="A32" t="s">
        <v>149</v>
      </c>
      <c r="B32" s="21">
        <v>252.13</v>
      </c>
      <c r="C32" s="13">
        <v>46248</v>
      </c>
      <c r="D32">
        <v>18.100000000000001</v>
      </c>
      <c r="E32" s="21">
        <v>13.93</v>
      </c>
      <c r="F32" s="10">
        <v>0.35199999999999998</v>
      </c>
      <c r="G32" s="21">
        <v>5.39</v>
      </c>
      <c r="H32" s="10">
        <v>2.1360000000000001E-2</v>
      </c>
      <c r="I32" t="s">
        <v>150</v>
      </c>
      <c r="J32" t="s">
        <v>151</v>
      </c>
      <c r="K32">
        <v>0.43</v>
      </c>
      <c r="L32">
        <v>0.85</v>
      </c>
      <c r="M32" t="s">
        <v>20</v>
      </c>
      <c r="N32" s="10">
        <v>1.0200000000000001E-2</v>
      </c>
      <c r="O32" t="s">
        <v>152</v>
      </c>
      <c r="P32" t="s">
        <v>22</v>
      </c>
      <c r="Q32" t="s">
        <v>81</v>
      </c>
    </row>
    <row r="33" spans="1:17" x14ac:dyDescent="0.2">
      <c r="A33" t="s">
        <v>85</v>
      </c>
      <c r="B33" s="21">
        <v>48.74</v>
      </c>
      <c r="C33" s="13">
        <v>46248</v>
      </c>
      <c r="D33">
        <v>17.100000000000001</v>
      </c>
      <c r="E33" s="21">
        <v>2.85</v>
      </c>
      <c r="F33" s="10">
        <v>0.32119999999999999</v>
      </c>
      <c r="G33" s="21">
        <v>1.35</v>
      </c>
      <c r="H33" s="10">
        <v>2.7619999999999999E-2</v>
      </c>
      <c r="I33" t="s">
        <v>153</v>
      </c>
      <c r="J33" t="s">
        <v>154</v>
      </c>
      <c r="K33">
        <v>2.86</v>
      </c>
      <c r="L33">
        <v>0.46</v>
      </c>
      <c r="M33" t="s">
        <v>20</v>
      </c>
      <c r="N33" s="10">
        <v>-2.1000000000000001E-2</v>
      </c>
      <c r="O33" t="s">
        <v>65</v>
      </c>
      <c r="P33" t="s">
        <v>22</v>
      </c>
      <c r="Q33" t="s">
        <v>84</v>
      </c>
    </row>
    <row r="34" spans="1:17" x14ac:dyDescent="0.2">
      <c r="A34" t="s">
        <v>83</v>
      </c>
      <c r="B34" s="21">
        <v>547.66999999999996</v>
      </c>
      <c r="C34" s="13">
        <v>46248</v>
      </c>
      <c r="D34">
        <v>22.2</v>
      </c>
      <c r="E34" s="21">
        <v>24.67</v>
      </c>
      <c r="F34" s="10">
        <v>0.19989999999999999</v>
      </c>
      <c r="G34" s="21">
        <v>19.3</v>
      </c>
      <c r="H34" s="10">
        <v>3.5249999999999997E-2</v>
      </c>
      <c r="I34" t="s">
        <v>155</v>
      </c>
      <c r="J34" t="s">
        <v>156</v>
      </c>
      <c r="K34">
        <v>2.19</v>
      </c>
      <c r="L34">
        <v>0.65</v>
      </c>
      <c r="M34" t="s">
        <v>20</v>
      </c>
      <c r="N34" s="10">
        <v>7.6499999999999999E-2</v>
      </c>
      <c r="O34" t="s">
        <v>21</v>
      </c>
      <c r="P34" t="s">
        <v>22</v>
      </c>
      <c r="Q34" t="s">
        <v>84</v>
      </c>
    </row>
    <row r="35" spans="1:17" x14ac:dyDescent="0.2">
      <c r="A35" t="s">
        <v>86</v>
      </c>
      <c r="B35" s="21">
        <v>369.46</v>
      </c>
      <c r="C35" s="13">
        <v>46248</v>
      </c>
      <c r="D35">
        <v>25.8</v>
      </c>
      <c r="E35" s="21">
        <v>14.32</v>
      </c>
      <c r="F35" s="10">
        <v>0.14979999999999999</v>
      </c>
      <c r="G35" s="21">
        <v>15.73</v>
      </c>
      <c r="H35" s="10">
        <v>4.2590000000000003E-2</v>
      </c>
      <c r="I35" t="s">
        <v>157</v>
      </c>
      <c r="J35" t="s">
        <v>158</v>
      </c>
      <c r="K35">
        <v>-0.35</v>
      </c>
      <c r="L35">
        <v>0.99</v>
      </c>
      <c r="M35" t="s">
        <v>20</v>
      </c>
      <c r="N35" s="10">
        <v>8.5500000000000007E-2</v>
      </c>
      <c r="O35" t="s">
        <v>127</v>
      </c>
      <c r="P35" t="s">
        <v>22</v>
      </c>
      <c r="Q35" t="s">
        <v>84</v>
      </c>
    </row>
    <row r="36" spans="1:17" x14ac:dyDescent="0.2">
      <c r="A36" t="s">
        <v>87</v>
      </c>
      <c r="B36" s="21">
        <v>143.31</v>
      </c>
      <c r="C36" s="13">
        <v>46248</v>
      </c>
      <c r="D36">
        <v>10.4</v>
      </c>
      <c r="E36" s="21">
        <v>13.78</v>
      </c>
      <c r="F36" s="10">
        <v>0.19470000000000001</v>
      </c>
      <c r="G36" s="21">
        <v>4.88</v>
      </c>
      <c r="H36" s="10">
        <v>3.4029999999999998E-2</v>
      </c>
      <c r="I36" t="s">
        <v>159</v>
      </c>
      <c r="J36" t="s">
        <v>160</v>
      </c>
      <c r="K36">
        <v>0.93</v>
      </c>
      <c r="L36">
        <v>1.51</v>
      </c>
      <c r="M36" t="s">
        <v>20</v>
      </c>
      <c r="N36" s="10">
        <v>-2.2499999999999999E-2</v>
      </c>
      <c r="O36" t="s">
        <v>139</v>
      </c>
      <c r="P36" t="s">
        <v>22</v>
      </c>
      <c r="Q36" t="s">
        <v>84</v>
      </c>
    </row>
    <row r="37" spans="1:17" x14ac:dyDescent="0.2">
      <c r="A37" t="s">
        <v>62</v>
      </c>
      <c r="B37" s="21">
        <v>85.29</v>
      </c>
      <c r="C37" s="13">
        <v>46248</v>
      </c>
      <c r="D37">
        <v>18.5</v>
      </c>
      <c r="E37" s="21">
        <v>4.6100000000000003</v>
      </c>
      <c r="F37" s="10">
        <v>0.42509999999999998</v>
      </c>
      <c r="G37" s="21">
        <v>3.79</v>
      </c>
      <c r="H37" s="10">
        <v>4.4479999999999999E-2</v>
      </c>
      <c r="I37" t="s">
        <v>161</v>
      </c>
      <c r="J37" t="s">
        <v>162</v>
      </c>
      <c r="K37">
        <v>2.52</v>
      </c>
      <c r="L37">
        <v>0.93</v>
      </c>
      <c r="M37" t="s">
        <v>20</v>
      </c>
      <c r="N37" s="10">
        <v>5.5899999999999998E-2</v>
      </c>
      <c r="O37" t="s">
        <v>65</v>
      </c>
      <c r="P37" t="s">
        <v>22</v>
      </c>
      <c r="Q37" t="s">
        <v>84</v>
      </c>
    </row>
    <row r="38" spans="1:17" x14ac:dyDescent="0.2">
      <c r="A38" t="s">
        <v>88</v>
      </c>
      <c r="B38" s="21">
        <v>66.239999999999995</v>
      </c>
      <c r="C38" s="13">
        <v>46248</v>
      </c>
      <c r="D38">
        <v>16</v>
      </c>
      <c r="E38" s="21">
        <v>4.1399999999999997</v>
      </c>
      <c r="F38" s="10">
        <v>0.41610000000000003</v>
      </c>
      <c r="G38" s="21">
        <v>3.02</v>
      </c>
      <c r="H38" s="10">
        <v>4.5519999999999998E-2</v>
      </c>
      <c r="I38" t="s">
        <v>163</v>
      </c>
      <c r="J38" t="s">
        <v>164</v>
      </c>
      <c r="K38">
        <v>0.79</v>
      </c>
      <c r="L38">
        <v>1.19</v>
      </c>
      <c r="M38" t="s">
        <v>20</v>
      </c>
      <c r="N38" s="10">
        <v>0.12939999999999999</v>
      </c>
      <c r="O38" t="s">
        <v>21</v>
      </c>
      <c r="P38" t="s">
        <v>22</v>
      </c>
      <c r="Q38" t="s">
        <v>84</v>
      </c>
    </row>
    <row r="39" spans="1:17" x14ac:dyDescent="0.2">
      <c r="A39" t="s">
        <v>89</v>
      </c>
      <c r="B39" s="21">
        <v>642.07000000000005</v>
      </c>
      <c r="C39" s="13">
        <v>46248</v>
      </c>
      <c r="D39">
        <v>32.200000000000003</v>
      </c>
      <c r="E39" s="21">
        <v>19.940000000000001</v>
      </c>
      <c r="F39" s="10">
        <v>0.33189999999999997</v>
      </c>
      <c r="G39" s="21">
        <v>5.64</v>
      </c>
      <c r="H39" s="10">
        <v>8.7899999999999992E-3</v>
      </c>
      <c r="I39" t="s">
        <v>165</v>
      </c>
      <c r="J39" t="s">
        <v>166</v>
      </c>
      <c r="K39">
        <v>1.74</v>
      </c>
      <c r="L39">
        <v>0.11</v>
      </c>
      <c r="M39" t="s">
        <v>20</v>
      </c>
      <c r="N39" s="10">
        <v>-2.9700000000000001E-2</v>
      </c>
      <c r="O39" t="s">
        <v>139</v>
      </c>
      <c r="P39" t="s">
        <v>22</v>
      </c>
      <c r="Q39" t="s">
        <v>84</v>
      </c>
    </row>
    <row r="40" spans="1:17" x14ac:dyDescent="0.2">
      <c r="A40" t="s">
        <v>90</v>
      </c>
      <c r="B40" s="21">
        <v>56.39</v>
      </c>
      <c r="C40" s="13">
        <v>46248</v>
      </c>
      <c r="D40">
        <v>26.6</v>
      </c>
      <c r="E40" s="21">
        <v>2.12</v>
      </c>
      <c r="F40" s="10">
        <v>0.1731</v>
      </c>
      <c r="G40" s="21">
        <v>1.67</v>
      </c>
      <c r="H40" s="10">
        <v>2.9690000000000001E-2</v>
      </c>
      <c r="I40" t="s">
        <v>167</v>
      </c>
      <c r="J40" t="s">
        <v>168</v>
      </c>
      <c r="K40">
        <v>0.33</v>
      </c>
      <c r="L40">
        <v>1.17</v>
      </c>
      <c r="M40" t="s">
        <v>20</v>
      </c>
      <c r="N40" s="10">
        <v>-2.5999999999999999E-3</v>
      </c>
      <c r="O40" t="s">
        <v>91</v>
      </c>
      <c r="P40" t="s">
        <v>22</v>
      </c>
      <c r="Q40" t="s">
        <v>84</v>
      </c>
    </row>
    <row r="41" spans="1:17" x14ac:dyDescent="0.2">
      <c r="A41" t="s">
        <v>92</v>
      </c>
      <c r="B41" s="21">
        <v>346.98</v>
      </c>
      <c r="C41" s="13">
        <v>46248</v>
      </c>
      <c r="D41">
        <v>18.100000000000001</v>
      </c>
      <c r="E41" s="21">
        <v>19.170000000000002</v>
      </c>
      <c r="F41" s="10">
        <v>0.33439999999999998</v>
      </c>
      <c r="G41" s="21">
        <v>14.99</v>
      </c>
      <c r="H41" s="10">
        <v>4.3220000000000001E-2</v>
      </c>
      <c r="I41" t="s">
        <v>169</v>
      </c>
      <c r="J41" t="s">
        <v>170</v>
      </c>
      <c r="K41">
        <v>-0.15</v>
      </c>
      <c r="L41">
        <v>0.65</v>
      </c>
      <c r="M41" t="s">
        <v>20</v>
      </c>
      <c r="N41" s="10">
        <v>3.0000000000000001E-3</v>
      </c>
      <c r="O41" t="s">
        <v>65</v>
      </c>
      <c r="P41" t="s">
        <v>22</v>
      </c>
      <c r="Q41" t="s">
        <v>51</v>
      </c>
    </row>
    <row r="42" spans="1:17" x14ac:dyDescent="0.2">
      <c r="A42" t="s">
        <v>93</v>
      </c>
      <c r="B42" s="21">
        <v>392.52</v>
      </c>
      <c r="C42" s="13">
        <v>46248</v>
      </c>
      <c r="D42">
        <v>16.100000000000001</v>
      </c>
      <c r="E42" s="21">
        <v>24.38</v>
      </c>
      <c r="F42" s="10">
        <v>0.24970000000000001</v>
      </c>
      <c r="G42" s="21">
        <v>17.72</v>
      </c>
      <c r="H42" s="10">
        <v>4.514E-2</v>
      </c>
      <c r="I42" t="s">
        <v>171</v>
      </c>
      <c r="J42" t="s">
        <v>172</v>
      </c>
      <c r="K42">
        <v>1.36</v>
      </c>
      <c r="L42">
        <v>0.97</v>
      </c>
      <c r="M42" t="s">
        <v>20</v>
      </c>
      <c r="N42" s="10">
        <v>4.8500000000000001E-2</v>
      </c>
      <c r="O42" t="s">
        <v>27</v>
      </c>
      <c r="P42" t="s">
        <v>22</v>
      </c>
      <c r="Q42" t="s">
        <v>51</v>
      </c>
    </row>
    <row r="43" spans="1:17" x14ac:dyDescent="0.2">
      <c r="A43" t="s">
        <v>94</v>
      </c>
      <c r="B43" s="21">
        <v>277.44</v>
      </c>
      <c r="C43" s="13">
        <v>46248</v>
      </c>
      <c r="D43">
        <v>14.9</v>
      </c>
      <c r="E43" s="21">
        <v>18.62</v>
      </c>
      <c r="F43" s="10">
        <v>0.2127</v>
      </c>
      <c r="G43" s="21">
        <v>1.69</v>
      </c>
      <c r="H43" s="10">
        <v>6.0899999999999999E-3</v>
      </c>
      <c r="I43" t="s">
        <v>173</v>
      </c>
      <c r="J43" t="s">
        <v>174</v>
      </c>
      <c r="K43">
        <v>2.98</v>
      </c>
      <c r="L43">
        <v>1.53</v>
      </c>
      <c r="M43" t="s">
        <v>20</v>
      </c>
      <c r="N43" s="10">
        <v>0.13300000000000001</v>
      </c>
      <c r="O43" t="s">
        <v>127</v>
      </c>
      <c r="P43" t="s">
        <v>22</v>
      </c>
      <c r="Q43" t="s">
        <v>51</v>
      </c>
    </row>
    <row r="44" spans="1:17" x14ac:dyDescent="0.2">
      <c r="A44" t="s">
        <v>95</v>
      </c>
      <c r="B44" s="21">
        <v>45.55</v>
      </c>
      <c r="C44" s="13">
        <v>46248</v>
      </c>
      <c r="D44">
        <v>19.3</v>
      </c>
      <c r="E44" s="21">
        <v>2.36</v>
      </c>
      <c r="F44" s="10">
        <v>0.42630000000000001</v>
      </c>
      <c r="G44" s="21">
        <v>1.1100000000000001</v>
      </c>
      <c r="H44" s="10">
        <v>2.427E-2</v>
      </c>
      <c r="I44" t="s">
        <v>175</v>
      </c>
      <c r="J44" t="s">
        <v>176</v>
      </c>
      <c r="K44">
        <v>2.66</v>
      </c>
      <c r="L44">
        <v>0.54</v>
      </c>
      <c r="M44" t="s">
        <v>20</v>
      </c>
      <c r="N44" s="10">
        <v>2.7E-2</v>
      </c>
      <c r="O44" t="s">
        <v>27</v>
      </c>
      <c r="P44" t="s">
        <v>22</v>
      </c>
      <c r="Q44" t="s">
        <v>51</v>
      </c>
    </row>
    <row r="45" spans="1:17" x14ac:dyDescent="0.2">
      <c r="A45" t="s">
        <v>96</v>
      </c>
      <c r="B45" s="21">
        <v>290.77999999999997</v>
      </c>
      <c r="C45" s="13">
        <v>46248</v>
      </c>
      <c r="D45">
        <v>31.3</v>
      </c>
      <c r="E45" s="21">
        <v>9.2899999999999991</v>
      </c>
      <c r="F45" s="10">
        <v>0.1759</v>
      </c>
      <c r="G45" s="21">
        <v>8.74</v>
      </c>
      <c r="H45" s="10">
        <v>3.006E-2</v>
      </c>
      <c r="I45" t="s">
        <v>177</v>
      </c>
      <c r="J45" t="s">
        <v>178</v>
      </c>
      <c r="K45">
        <v>1.61</v>
      </c>
      <c r="L45">
        <v>0.25</v>
      </c>
      <c r="M45" t="s">
        <v>20</v>
      </c>
      <c r="N45" s="10">
        <v>7.2999999999999995E-2</v>
      </c>
      <c r="O45" t="s">
        <v>127</v>
      </c>
      <c r="P45" t="s">
        <v>22</v>
      </c>
      <c r="Q45" t="s">
        <v>51</v>
      </c>
    </row>
    <row r="46" spans="1:17" x14ac:dyDescent="0.2">
      <c r="A46" t="s">
        <v>97</v>
      </c>
      <c r="B46" s="21">
        <v>181.66</v>
      </c>
      <c r="C46" s="13">
        <v>46248</v>
      </c>
      <c r="D46">
        <v>34.799999999999997</v>
      </c>
      <c r="E46" s="21">
        <v>5.22</v>
      </c>
      <c r="F46" s="10">
        <v>0.29099999999999998</v>
      </c>
      <c r="G46" s="21">
        <v>8.08</v>
      </c>
      <c r="H46" s="10">
        <v>4.4479999999999999E-2</v>
      </c>
      <c r="I46" t="s">
        <v>179</v>
      </c>
      <c r="J46" t="s">
        <v>180</v>
      </c>
      <c r="K46">
        <v>2.1</v>
      </c>
      <c r="L46">
        <v>0.64</v>
      </c>
      <c r="M46" t="s">
        <v>20</v>
      </c>
      <c r="N46" s="10">
        <v>8.6999999999999994E-3</v>
      </c>
      <c r="O46" t="s">
        <v>181</v>
      </c>
      <c r="P46" t="s">
        <v>22</v>
      </c>
      <c r="Q46" t="s">
        <v>51</v>
      </c>
    </row>
    <row r="47" spans="1:17" x14ac:dyDescent="0.2">
      <c r="A47" t="s">
        <v>98</v>
      </c>
      <c r="B47" s="21">
        <v>623.03</v>
      </c>
      <c r="C47" s="13">
        <v>46248</v>
      </c>
      <c r="D47">
        <v>30.2</v>
      </c>
      <c r="E47" s="21">
        <v>20.63</v>
      </c>
      <c r="F47" s="10">
        <v>0.40610000000000002</v>
      </c>
      <c r="G47" s="21">
        <v>28.72</v>
      </c>
      <c r="H47" s="10">
        <v>4.6100000000000002E-2</v>
      </c>
      <c r="I47" t="s">
        <v>182</v>
      </c>
      <c r="J47" t="s">
        <v>183</v>
      </c>
      <c r="K47">
        <v>2.4500000000000002</v>
      </c>
      <c r="L47">
        <v>1.07</v>
      </c>
      <c r="M47" t="s">
        <v>20</v>
      </c>
      <c r="N47" s="10">
        <v>9.0399999999999994E-2</v>
      </c>
      <c r="O47" t="s">
        <v>127</v>
      </c>
      <c r="P47" t="s">
        <v>22</v>
      </c>
      <c r="Q47" t="s">
        <v>51</v>
      </c>
    </row>
    <row r="48" spans="1:17" x14ac:dyDescent="0.2">
      <c r="A48" t="s">
        <v>99</v>
      </c>
      <c r="B48" s="21">
        <v>671.85</v>
      </c>
      <c r="C48" s="13">
        <v>46248</v>
      </c>
      <c r="D48">
        <v>29.9</v>
      </c>
      <c r="E48" s="21">
        <v>22.47</v>
      </c>
      <c r="F48" s="10">
        <v>0.23150000000000001</v>
      </c>
      <c r="G48" s="21">
        <v>14.71</v>
      </c>
      <c r="H48" s="10">
        <v>2.1899999999999999E-2</v>
      </c>
      <c r="I48" t="s">
        <v>184</v>
      </c>
      <c r="J48" t="s">
        <v>185</v>
      </c>
      <c r="K48">
        <v>-0.37</v>
      </c>
      <c r="L48">
        <v>0.8</v>
      </c>
      <c r="M48" t="s">
        <v>20</v>
      </c>
      <c r="N48" s="10">
        <v>5.8500000000000003E-2</v>
      </c>
      <c r="O48" t="s">
        <v>139</v>
      </c>
      <c r="P48" t="s">
        <v>22</v>
      </c>
      <c r="Q48" t="s">
        <v>51</v>
      </c>
    </row>
    <row r="49" spans="1:17" x14ac:dyDescent="0.2">
      <c r="A49" t="s">
        <v>100</v>
      </c>
      <c r="B49" s="21">
        <v>193.27</v>
      </c>
      <c r="C49" s="13">
        <v>46248</v>
      </c>
      <c r="D49" t="s">
        <v>20</v>
      </c>
      <c r="E49" t="s">
        <v>20</v>
      </c>
      <c r="F49" t="s">
        <v>20</v>
      </c>
      <c r="G49" s="21">
        <v>4.1500000000000004</v>
      </c>
      <c r="H49" s="10">
        <v>2.1499999999999998E-2</v>
      </c>
      <c r="I49" t="s">
        <v>20</v>
      </c>
      <c r="J49" t="s">
        <v>20</v>
      </c>
      <c r="K49">
        <v>-0.36</v>
      </c>
      <c r="L49">
        <v>1.1100000000000001</v>
      </c>
      <c r="M49" s="10">
        <v>5.5000000000000003E-4</v>
      </c>
      <c r="N49" s="10">
        <v>2.1999999999999999E-2</v>
      </c>
      <c r="O49" t="s">
        <v>186</v>
      </c>
      <c r="P49" t="s">
        <v>34</v>
      </c>
      <c r="Q49" t="s">
        <v>23</v>
      </c>
    </row>
    <row r="50" spans="1:17" x14ac:dyDescent="0.2">
      <c r="A50" t="s">
        <v>187</v>
      </c>
      <c r="B50" s="21">
        <v>113.53</v>
      </c>
      <c r="C50" s="13">
        <v>46248</v>
      </c>
      <c r="D50" t="s">
        <v>20</v>
      </c>
      <c r="E50" t="s">
        <v>20</v>
      </c>
      <c r="F50" t="s">
        <v>20</v>
      </c>
      <c r="G50" s="21">
        <v>2.1800000000000002</v>
      </c>
      <c r="H50" s="10">
        <v>1.9230000000000001E-2</v>
      </c>
      <c r="I50" t="s">
        <v>20</v>
      </c>
      <c r="J50" t="s">
        <v>20</v>
      </c>
      <c r="K50">
        <v>0.3</v>
      </c>
      <c r="L50">
        <v>1.01</v>
      </c>
      <c r="M50" s="10">
        <v>6.6100000000000004E-3</v>
      </c>
      <c r="N50" s="10">
        <v>-3.2899999999999999E-2</v>
      </c>
      <c r="O50" t="s">
        <v>186</v>
      </c>
      <c r="P50" t="s">
        <v>34</v>
      </c>
      <c r="Q50" t="s">
        <v>23</v>
      </c>
    </row>
    <row r="51" spans="1:17" x14ac:dyDescent="0.2">
      <c r="A51" t="s">
        <v>101</v>
      </c>
      <c r="B51" s="21">
        <v>75.84</v>
      </c>
      <c r="C51" s="13">
        <v>46248</v>
      </c>
      <c r="D51" t="s">
        <v>20</v>
      </c>
      <c r="E51" t="s">
        <v>20</v>
      </c>
      <c r="F51" t="s">
        <v>20</v>
      </c>
      <c r="G51" s="21">
        <v>1.48</v>
      </c>
      <c r="H51" s="10">
        <v>1.9529999999999999E-2</v>
      </c>
      <c r="I51" t="s">
        <v>20</v>
      </c>
      <c r="J51" t="s">
        <v>20</v>
      </c>
      <c r="K51">
        <v>1.86</v>
      </c>
      <c r="L51">
        <v>1.06</v>
      </c>
      <c r="M51" s="10">
        <v>4.7299999999999998E-3</v>
      </c>
      <c r="N51" s="10">
        <v>0.1452</v>
      </c>
      <c r="O51" t="s">
        <v>186</v>
      </c>
      <c r="P51" t="s">
        <v>34</v>
      </c>
      <c r="Q51" t="s">
        <v>23</v>
      </c>
    </row>
    <row r="52" spans="1:17" x14ac:dyDescent="0.2">
      <c r="A52" t="s">
        <v>102</v>
      </c>
      <c r="B52" s="21">
        <v>308.14999999999998</v>
      </c>
      <c r="C52" s="13">
        <v>46248</v>
      </c>
      <c r="D52" t="s">
        <v>20</v>
      </c>
      <c r="E52" t="s">
        <v>20</v>
      </c>
      <c r="F52" t="s">
        <v>20</v>
      </c>
      <c r="G52" s="21">
        <v>3.9</v>
      </c>
      <c r="H52" s="10">
        <v>1.2659999999999999E-2</v>
      </c>
      <c r="I52" t="s">
        <v>20</v>
      </c>
      <c r="J52" t="s">
        <v>20</v>
      </c>
      <c r="K52">
        <v>0.5</v>
      </c>
      <c r="L52">
        <v>0.92</v>
      </c>
      <c r="M52" s="10">
        <v>6.8199999999999997E-3</v>
      </c>
      <c r="N52" s="10">
        <v>-3.4299999999999997E-2</v>
      </c>
      <c r="O52" t="s">
        <v>27</v>
      </c>
      <c r="P52" t="s">
        <v>34</v>
      </c>
      <c r="Q52" t="s">
        <v>23</v>
      </c>
    </row>
    <row r="53" spans="1:17" x14ac:dyDescent="0.2">
      <c r="A53" t="s">
        <v>104</v>
      </c>
      <c r="B53" s="21">
        <v>62.68</v>
      </c>
      <c r="C53" s="13">
        <v>46248</v>
      </c>
      <c r="D53" t="s">
        <v>20</v>
      </c>
      <c r="E53" t="s">
        <v>20</v>
      </c>
      <c r="F53" t="s">
        <v>20</v>
      </c>
      <c r="G53" s="21">
        <v>2.12</v>
      </c>
      <c r="H53" s="10">
        <v>3.3770000000000001E-2</v>
      </c>
      <c r="I53" t="s">
        <v>20</v>
      </c>
      <c r="J53" t="s">
        <v>20</v>
      </c>
      <c r="K53">
        <v>2.08</v>
      </c>
      <c r="L53">
        <v>0.9</v>
      </c>
      <c r="M53" s="10">
        <v>7.1599999999999997E-3</v>
      </c>
      <c r="N53" s="10">
        <v>-1.5299999999999999E-2</v>
      </c>
      <c r="O53" t="s">
        <v>186</v>
      </c>
      <c r="P53" t="s">
        <v>34</v>
      </c>
      <c r="Q53" t="s">
        <v>23</v>
      </c>
    </row>
    <row r="54" spans="1:17" x14ac:dyDescent="0.2">
      <c r="A54" t="s">
        <v>103</v>
      </c>
      <c r="B54" s="21">
        <v>128.22</v>
      </c>
      <c r="C54" s="13">
        <v>46248</v>
      </c>
      <c r="D54" t="s">
        <v>20</v>
      </c>
      <c r="E54" t="s">
        <v>20</v>
      </c>
      <c r="F54" t="s">
        <v>20</v>
      </c>
      <c r="G54" s="21">
        <v>1.32</v>
      </c>
      <c r="H54" s="10">
        <v>1.026E-2</v>
      </c>
      <c r="I54" t="s">
        <v>20</v>
      </c>
      <c r="J54" t="s">
        <v>20</v>
      </c>
      <c r="K54">
        <v>2.14</v>
      </c>
      <c r="L54">
        <v>1.03</v>
      </c>
      <c r="M54" s="10">
        <v>4.7999999999999996E-3</v>
      </c>
      <c r="N54" s="10">
        <v>6.0000000000000001E-3</v>
      </c>
      <c r="O54" t="s">
        <v>186</v>
      </c>
      <c r="P54" t="s">
        <v>34</v>
      </c>
      <c r="Q54" t="s">
        <v>23</v>
      </c>
    </row>
    <row r="55" spans="1:17" x14ac:dyDescent="0.2">
      <c r="A55" t="s">
        <v>188</v>
      </c>
      <c r="B55" s="21">
        <v>527.42999999999995</v>
      </c>
      <c r="C55" s="13">
        <v>46248</v>
      </c>
      <c r="D55" t="s">
        <v>20</v>
      </c>
      <c r="E55" t="s">
        <v>20</v>
      </c>
      <c r="F55" t="s">
        <v>20</v>
      </c>
      <c r="G55" s="21">
        <v>13.9</v>
      </c>
      <c r="H55" s="10">
        <v>2.6349999999999998E-2</v>
      </c>
      <c r="I55" t="s">
        <v>20</v>
      </c>
      <c r="J55" t="s">
        <v>20</v>
      </c>
      <c r="K55">
        <v>1.76</v>
      </c>
      <c r="L55">
        <v>0.91</v>
      </c>
      <c r="M55" s="10">
        <v>4.8500000000000001E-3</v>
      </c>
      <c r="N55" s="10">
        <v>-5.0000000000000001E-4</v>
      </c>
      <c r="O55" t="s">
        <v>189</v>
      </c>
      <c r="P55" t="s">
        <v>34</v>
      </c>
      <c r="Q55" t="s">
        <v>23</v>
      </c>
    </row>
    <row r="56" spans="1:17" x14ac:dyDescent="0.2">
      <c r="A56" t="s">
        <v>105</v>
      </c>
      <c r="B56" s="21">
        <v>227.99</v>
      </c>
      <c r="C56" s="13">
        <v>46248</v>
      </c>
      <c r="D56" t="s">
        <v>20</v>
      </c>
      <c r="E56" t="s">
        <v>20</v>
      </c>
      <c r="F56" t="s">
        <v>20</v>
      </c>
      <c r="G56" s="21">
        <v>6.16</v>
      </c>
      <c r="H56" s="10">
        <v>2.7009999999999999E-2</v>
      </c>
      <c r="I56" t="s">
        <v>20</v>
      </c>
      <c r="J56" t="s">
        <v>20</v>
      </c>
      <c r="K56">
        <v>-7.0000000000000007E-2</v>
      </c>
      <c r="L56">
        <v>0.72</v>
      </c>
      <c r="M56" s="10">
        <v>4.2000000000000002E-4</v>
      </c>
      <c r="N56" s="10">
        <v>-4.19E-2</v>
      </c>
      <c r="O56" t="s">
        <v>106</v>
      </c>
      <c r="P56" t="s">
        <v>34</v>
      </c>
      <c r="Q56" t="s">
        <v>23</v>
      </c>
    </row>
    <row r="57" spans="1:17" x14ac:dyDescent="0.2">
      <c r="A57" t="s">
        <v>107</v>
      </c>
      <c r="B57" s="21">
        <v>477.73</v>
      </c>
      <c r="C57" s="13">
        <v>46248</v>
      </c>
      <c r="D57" t="s">
        <v>20</v>
      </c>
      <c r="E57" t="s">
        <v>20</v>
      </c>
      <c r="F57" t="s">
        <v>20</v>
      </c>
      <c r="G57" s="21">
        <v>12.05</v>
      </c>
      <c r="H57" s="10">
        <v>2.5219999999999999E-2</v>
      </c>
      <c r="I57" t="s">
        <v>20</v>
      </c>
      <c r="J57" t="s">
        <v>20</v>
      </c>
      <c r="K57">
        <v>-0.14000000000000001</v>
      </c>
      <c r="L57">
        <v>0.95</v>
      </c>
      <c r="M57" s="10">
        <v>4.1900000000000001E-3</v>
      </c>
      <c r="N57" s="10">
        <v>4.4699999999999997E-2</v>
      </c>
      <c r="O57" t="s">
        <v>186</v>
      </c>
      <c r="P57" t="s">
        <v>34</v>
      </c>
      <c r="Q57" t="s">
        <v>84</v>
      </c>
    </row>
    <row r="58" spans="1:17" x14ac:dyDescent="0.2">
      <c r="A58" t="s">
        <v>190</v>
      </c>
      <c r="B58" s="21">
        <v>136.6</v>
      </c>
      <c r="C58" s="13">
        <v>46248</v>
      </c>
      <c r="D58" t="s">
        <v>20</v>
      </c>
      <c r="E58" t="s">
        <v>20</v>
      </c>
      <c r="F58" t="s">
        <v>20</v>
      </c>
      <c r="G58" s="21">
        <v>2.23</v>
      </c>
      <c r="H58" s="10">
        <v>1.6320000000000001E-2</v>
      </c>
      <c r="I58" t="s">
        <v>20</v>
      </c>
      <c r="J58" t="s">
        <v>20</v>
      </c>
      <c r="K58">
        <v>1.78</v>
      </c>
      <c r="L58">
        <v>1.02</v>
      </c>
      <c r="M58" s="10">
        <v>3.5699999999999998E-3</v>
      </c>
      <c r="N58" s="10">
        <v>-4.0899999999999999E-2</v>
      </c>
      <c r="O58" t="s">
        <v>186</v>
      </c>
      <c r="P58" t="s">
        <v>34</v>
      </c>
      <c r="Q58" t="s">
        <v>84</v>
      </c>
    </row>
    <row r="59" spans="1:17" x14ac:dyDescent="0.2">
      <c r="A59" t="s">
        <v>191</v>
      </c>
      <c r="B59" s="21">
        <v>237.31</v>
      </c>
      <c r="C59" s="13">
        <v>46248</v>
      </c>
      <c r="D59" t="s">
        <v>20</v>
      </c>
      <c r="E59" t="s">
        <v>20</v>
      </c>
      <c r="F59" t="s">
        <v>20</v>
      </c>
      <c r="G59" s="21">
        <v>5.38</v>
      </c>
      <c r="H59" s="10">
        <v>2.265E-2</v>
      </c>
      <c r="I59" t="s">
        <v>20</v>
      </c>
      <c r="J59" t="s">
        <v>20</v>
      </c>
      <c r="K59">
        <v>2.67</v>
      </c>
      <c r="L59">
        <v>1.03</v>
      </c>
      <c r="M59" s="10">
        <v>4.4299999999999999E-3</v>
      </c>
      <c r="N59" s="10">
        <v>-1.7399999999999999E-2</v>
      </c>
      <c r="O59" t="s">
        <v>186</v>
      </c>
      <c r="P59" t="s">
        <v>34</v>
      </c>
      <c r="Q59" t="s">
        <v>84</v>
      </c>
    </row>
    <row r="60" spans="1:17" x14ac:dyDescent="0.2">
      <c r="A60" t="s">
        <v>108</v>
      </c>
      <c r="B60" s="21">
        <v>85.28</v>
      </c>
      <c r="C60" s="13">
        <v>46248</v>
      </c>
      <c r="D60" t="s">
        <v>20</v>
      </c>
      <c r="E60" t="s">
        <v>20</v>
      </c>
      <c r="F60" t="s">
        <v>20</v>
      </c>
      <c r="G60" s="21">
        <v>1.98</v>
      </c>
      <c r="H60" s="10">
        <v>2.3199999999999998E-2</v>
      </c>
      <c r="I60" t="s">
        <v>20</v>
      </c>
      <c r="J60" t="s">
        <v>20</v>
      </c>
      <c r="K60">
        <v>1.67</v>
      </c>
      <c r="L60">
        <v>1.17</v>
      </c>
      <c r="M60" s="10">
        <v>5.1999999999999995E-4</v>
      </c>
      <c r="N60" s="10">
        <v>6.5100000000000005E-2</v>
      </c>
      <c r="O60" t="s">
        <v>186</v>
      </c>
      <c r="P60" t="s">
        <v>34</v>
      </c>
      <c r="Q60" t="s">
        <v>51</v>
      </c>
    </row>
    <row r="61" spans="1:17" x14ac:dyDescent="0.2">
      <c r="A61" t="s">
        <v>109</v>
      </c>
      <c r="B61" s="21">
        <v>244.08</v>
      </c>
      <c r="C61" s="13">
        <v>46248</v>
      </c>
      <c r="D61" t="s">
        <v>20</v>
      </c>
      <c r="E61" t="s">
        <v>20</v>
      </c>
      <c r="F61" t="s">
        <v>20</v>
      </c>
      <c r="G61" s="21">
        <v>5.67</v>
      </c>
      <c r="H61" s="10">
        <v>2.3230000000000001E-2</v>
      </c>
      <c r="I61" t="s">
        <v>20</v>
      </c>
      <c r="J61" t="s">
        <v>20</v>
      </c>
      <c r="K61">
        <v>1.52</v>
      </c>
      <c r="L61">
        <v>1.17</v>
      </c>
      <c r="M61" s="10">
        <v>4.0600000000000002E-3</v>
      </c>
      <c r="N61" s="10">
        <v>2.7199999999999998E-2</v>
      </c>
      <c r="O61" t="s">
        <v>186</v>
      </c>
      <c r="P61" t="s">
        <v>34</v>
      </c>
      <c r="Q61" t="s">
        <v>51</v>
      </c>
    </row>
    <row r="62" spans="1:17" x14ac:dyDescent="0.2">
      <c r="A62" t="s">
        <v>110</v>
      </c>
      <c r="B62" s="21">
        <v>530.6</v>
      </c>
      <c r="C62" s="13">
        <v>46248</v>
      </c>
      <c r="D62" t="s">
        <v>20</v>
      </c>
      <c r="E62" t="s">
        <v>20</v>
      </c>
      <c r="F62" t="s">
        <v>20</v>
      </c>
      <c r="G62" s="21">
        <v>16.91</v>
      </c>
      <c r="H62" s="10">
        <v>3.1879999999999999E-2</v>
      </c>
      <c r="I62" t="s">
        <v>20</v>
      </c>
      <c r="J62" t="s">
        <v>20</v>
      </c>
      <c r="K62">
        <v>-0.24</v>
      </c>
      <c r="L62">
        <v>0.75</v>
      </c>
      <c r="M62" s="10">
        <v>1.91E-3</v>
      </c>
      <c r="N62" s="10">
        <v>-4.6399999999999997E-2</v>
      </c>
      <c r="O62" t="s">
        <v>186</v>
      </c>
      <c r="P62" t="s">
        <v>68</v>
      </c>
      <c r="Q62" t="s">
        <v>23</v>
      </c>
    </row>
    <row r="63" spans="1:17" x14ac:dyDescent="0.2">
      <c r="A63" t="s">
        <v>111</v>
      </c>
      <c r="B63" s="21">
        <v>97.22</v>
      </c>
      <c r="C63" s="13">
        <v>46248</v>
      </c>
      <c r="D63" t="s">
        <v>20</v>
      </c>
      <c r="E63" t="s">
        <v>20</v>
      </c>
      <c r="F63" t="s">
        <v>20</v>
      </c>
      <c r="G63" s="21">
        <v>2.39</v>
      </c>
      <c r="H63" s="10">
        <v>2.4539999999999999E-2</v>
      </c>
      <c r="I63" t="s">
        <v>20</v>
      </c>
      <c r="J63" t="s">
        <v>20</v>
      </c>
      <c r="K63">
        <v>0.68</v>
      </c>
      <c r="L63">
        <v>1.1200000000000001</v>
      </c>
      <c r="M63" s="10">
        <v>8.8000000000000003E-4</v>
      </c>
      <c r="N63" s="10">
        <v>-4.53E-2</v>
      </c>
      <c r="O63" t="s">
        <v>186</v>
      </c>
      <c r="P63" t="s">
        <v>68</v>
      </c>
      <c r="Q63" t="s">
        <v>23</v>
      </c>
    </row>
    <row r="64" spans="1:17" x14ac:dyDescent="0.2">
      <c r="A64" t="s">
        <v>112</v>
      </c>
      <c r="B64" s="21">
        <v>457.23</v>
      </c>
      <c r="C64" s="13">
        <v>46248</v>
      </c>
      <c r="D64" t="s">
        <v>20</v>
      </c>
      <c r="E64" t="s">
        <v>20</v>
      </c>
      <c r="F64" t="s">
        <v>20</v>
      </c>
      <c r="G64" s="21">
        <v>5.17</v>
      </c>
      <c r="H64" s="10">
        <v>1.1299999999999999E-2</v>
      </c>
      <c r="I64" t="s">
        <v>20</v>
      </c>
      <c r="J64" t="s">
        <v>20</v>
      </c>
      <c r="K64">
        <v>2.08</v>
      </c>
      <c r="L64">
        <v>1.01</v>
      </c>
      <c r="M64" s="10">
        <v>1.2700000000000001E-3</v>
      </c>
      <c r="N64" s="10">
        <v>0.1255</v>
      </c>
      <c r="O64" t="s">
        <v>192</v>
      </c>
      <c r="P64" t="s">
        <v>68</v>
      </c>
      <c r="Q64" t="s">
        <v>23</v>
      </c>
    </row>
    <row r="65" spans="1:17" x14ac:dyDescent="0.2">
      <c r="A65" t="s">
        <v>113</v>
      </c>
      <c r="B65" s="21">
        <v>417.54</v>
      </c>
      <c r="C65" s="13">
        <v>46248</v>
      </c>
      <c r="D65" t="s">
        <v>20</v>
      </c>
      <c r="E65" t="s">
        <v>20</v>
      </c>
      <c r="F65" t="s">
        <v>20</v>
      </c>
      <c r="G65" s="21">
        <v>11.91</v>
      </c>
      <c r="H65" s="10">
        <v>2.8510000000000001E-2</v>
      </c>
      <c r="I65" t="s">
        <v>20</v>
      </c>
      <c r="J65" t="s">
        <v>20</v>
      </c>
      <c r="K65">
        <v>0.16</v>
      </c>
      <c r="L65">
        <v>1.08</v>
      </c>
      <c r="M65" s="10">
        <v>2.6099999999999999E-3</v>
      </c>
      <c r="N65" s="10">
        <v>0.1114</v>
      </c>
      <c r="O65" t="s">
        <v>192</v>
      </c>
      <c r="P65" t="s">
        <v>68</v>
      </c>
      <c r="Q65" t="s">
        <v>23</v>
      </c>
    </row>
    <row r="66" spans="1:17" x14ac:dyDescent="0.2">
      <c r="A66" t="s">
        <v>193</v>
      </c>
      <c r="B66" s="21">
        <v>545.25</v>
      </c>
      <c r="C66" s="13">
        <v>46248</v>
      </c>
      <c r="D66" t="s">
        <v>20</v>
      </c>
      <c r="E66" t="s">
        <v>20</v>
      </c>
      <c r="F66" t="s">
        <v>20</v>
      </c>
      <c r="G66" s="21">
        <v>8.51</v>
      </c>
      <c r="H66" s="10">
        <v>1.562E-2</v>
      </c>
      <c r="I66" t="s">
        <v>20</v>
      </c>
      <c r="J66" t="s">
        <v>20</v>
      </c>
      <c r="K66">
        <v>2.37</v>
      </c>
      <c r="L66">
        <v>0.87</v>
      </c>
      <c r="M66" s="10">
        <v>3.3500000000000001E-3</v>
      </c>
      <c r="N66" s="10">
        <v>0.13619999999999999</v>
      </c>
      <c r="O66" t="s">
        <v>186</v>
      </c>
      <c r="P66" t="s">
        <v>68</v>
      </c>
      <c r="Q6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Poorva Vakharia</dc:creator>
  <cp:lastModifiedBy>Poorva Vakharia</cp:lastModifiedBy>
  <dcterms:created xsi:type="dcterms:W3CDTF">2026-08-23T15:36:58Z</dcterms:created>
  <dcterms:modified xsi:type="dcterms:W3CDTF">2026-08-25T01:30:41Z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2026-08-23T15:37:00Z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0e16b3b8-afeb-4340-90a1-a61ab0302a92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50, 3, 0, 1</vt:lpwstr>
  </property>
</Properties>
</file>