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v/Documents/Personal Projects/personal-stock-advisor/data/"/>
    </mc:Choice>
  </mc:AlternateContent>
  <xr:revisionPtr revIDLastSave="0" documentId="13_ncr:9_{003198C8-00AF-CA4B-90B7-DDA69FCD2ED4}" xr6:coauthVersionLast="47" xr6:coauthVersionMax="47" xr10:uidLastSave="{00000000-0000-0000-0000-000000000000}"/>
  <bookViews>
    <workbookView xWindow="1500" yWindow="1320" windowWidth="27640" windowHeight="16940" xr2:uid="{45AC28F3-18A3-6041-8E04-956743F5C928}"/>
  </bookViews>
  <sheets>
    <sheet name="Sheet1" sheetId="1" r:id="rId1"/>
  </sheets>
  <definedNames>
    <definedName name="_xlnm._FilterDatabase" localSheetId="0" hidden="1">Sheet1!$A$1:$Q$101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0" i="1" l="1"/>
  <c r="P99" i="1"/>
  <c r="P98" i="1"/>
  <c r="P80" i="1"/>
  <c r="P77" i="1"/>
  <c r="P73" i="1"/>
  <c r="P68" i="1"/>
  <c r="P61" i="1"/>
  <c r="P58" i="1"/>
  <c r="P52" i="1"/>
  <c r="P51" i="1"/>
  <c r="P50" i="1"/>
  <c r="P47" i="1"/>
  <c r="P46" i="1"/>
  <c r="P42" i="1"/>
  <c r="P18" i="1"/>
  <c r="P15" i="1"/>
  <c r="P14" i="1"/>
  <c r="P10" i="1"/>
  <c r="P3" i="1"/>
  <c r="P96" i="1"/>
  <c r="P76" i="1"/>
  <c r="P44" i="1"/>
  <c r="P41" i="1"/>
  <c r="P39" i="1"/>
  <c r="P38" i="1"/>
  <c r="P33" i="1"/>
  <c r="P31" i="1"/>
  <c r="P13" i="1"/>
  <c r="P11" i="1"/>
  <c r="P9" i="1"/>
  <c r="P7" i="1"/>
  <c r="P101" i="1"/>
  <c r="P97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79" i="1"/>
  <c r="P78" i="1"/>
  <c r="P75" i="1"/>
  <c r="P74" i="1"/>
  <c r="P72" i="1"/>
  <c r="P71" i="1"/>
  <c r="P70" i="1"/>
  <c r="P69" i="1"/>
  <c r="P67" i="1"/>
  <c r="P66" i="1"/>
  <c r="P65" i="1"/>
  <c r="P64" i="1"/>
  <c r="P63" i="1"/>
  <c r="P62" i="1"/>
  <c r="P60" i="1"/>
  <c r="P59" i="1"/>
  <c r="P57" i="1"/>
  <c r="P56" i="1"/>
  <c r="P55" i="1"/>
  <c r="P54" i="1"/>
  <c r="P53" i="1"/>
  <c r="P49" i="1"/>
  <c r="P48" i="1"/>
  <c r="P45" i="1"/>
  <c r="P43" i="1"/>
  <c r="P40" i="1"/>
  <c r="P37" i="1"/>
  <c r="P36" i="1"/>
  <c r="P35" i="1"/>
  <c r="P34" i="1"/>
  <c r="P32" i="1"/>
  <c r="P30" i="1"/>
  <c r="P29" i="1"/>
  <c r="P28" i="1"/>
  <c r="P27" i="1"/>
  <c r="P26" i="1"/>
  <c r="P25" i="1"/>
  <c r="P24" i="1"/>
  <c r="P23" i="1"/>
  <c r="P22" i="1"/>
  <c r="P21" i="1"/>
  <c r="P20" i="1"/>
  <c r="P19" i="1"/>
  <c r="P17" i="1"/>
  <c r="P16" i="1"/>
  <c r="P12" i="1"/>
  <c r="P8" i="1"/>
  <c r="P6" i="1"/>
  <c r="P5" i="1"/>
  <c r="P4" i="1"/>
  <c r="P2" i="1"/>
  <c r="O58" i="1"/>
  <c r="O97" i="1"/>
  <c r="O91" i="1"/>
  <c r="O78" i="1"/>
  <c r="O66" i="1"/>
  <c r="O63" i="1"/>
  <c r="O54" i="1"/>
  <c r="O27" i="1"/>
  <c r="O5" i="1"/>
  <c r="O95" i="1"/>
  <c r="O93" i="1"/>
  <c r="O92" i="1"/>
  <c r="O87" i="1"/>
  <c r="O86" i="1"/>
  <c r="O71" i="1"/>
  <c r="O60" i="1"/>
  <c r="O26" i="1"/>
  <c r="O22" i="1"/>
  <c r="O21" i="1"/>
  <c r="O12" i="1"/>
  <c r="O100" i="1"/>
  <c r="O99" i="1"/>
  <c r="O98" i="1"/>
  <c r="O96" i="1"/>
  <c r="O80" i="1"/>
  <c r="O77" i="1"/>
  <c r="O76" i="1"/>
  <c r="O73" i="1"/>
  <c r="O68" i="1"/>
  <c r="O61" i="1"/>
  <c r="O52" i="1"/>
  <c r="O51" i="1"/>
  <c r="O50" i="1"/>
  <c r="O47" i="1"/>
  <c r="O46" i="1"/>
  <c r="O44" i="1"/>
  <c r="O42" i="1"/>
  <c r="O41" i="1"/>
  <c r="O39" i="1"/>
  <c r="O38" i="1"/>
  <c r="O33" i="1"/>
  <c r="O31" i="1"/>
  <c r="O18" i="1"/>
  <c r="O15" i="1"/>
  <c r="O14" i="1"/>
  <c r="O13" i="1"/>
  <c r="O11" i="1"/>
  <c r="O10" i="1"/>
  <c r="O9" i="1"/>
  <c r="O7" i="1"/>
  <c r="O3" i="1"/>
  <c r="O94" i="1"/>
  <c r="O84" i="1"/>
  <c r="O64" i="1"/>
  <c r="O57" i="1"/>
  <c r="O32" i="1"/>
  <c r="O101" i="1"/>
  <c r="O81" i="1"/>
  <c r="O74" i="1"/>
  <c r="O70" i="1"/>
  <c r="O67" i="1"/>
  <c r="O56" i="1"/>
  <c r="O48" i="1"/>
  <c r="O45" i="1"/>
  <c r="O40" i="1"/>
  <c r="O37" i="1"/>
  <c r="O36" i="1"/>
  <c r="O35" i="1"/>
  <c r="O34" i="1"/>
  <c r="O29" i="1"/>
  <c r="O25" i="1"/>
  <c r="O23" i="1"/>
  <c r="O17" i="1"/>
  <c r="O4" i="1"/>
  <c r="O82" i="1"/>
  <c r="O59" i="1"/>
  <c r="O53" i="1"/>
  <c r="O19" i="1"/>
  <c r="O90" i="1"/>
  <c r="O89" i="1"/>
  <c r="O85" i="1"/>
  <c r="O83" i="1"/>
  <c r="O79" i="1"/>
  <c r="O75" i="1"/>
  <c r="O72" i="1"/>
  <c r="O69" i="1"/>
  <c r="O65" i="1"/>
  <c r="O62" i="1"/>
  <c r="O55" i="1"/>
  <c r="O49" i="1"/>
  <c r="O24" i="1"/>
  <c r="O16" i="1"/>
  <c r="O88" i="1"/>
  <c r="O43" i="1"/>
  <c r="O30" i="1"/>
  <c r="O28" i="1"/>
  <c r="O20" i="1"/>
  <c r="O8" i="1"/>
  <c r="O6" i="1"/>
  <c r="O2" i="1"/>
</calcChain>
</file>

<file path=xl/sharedStrings.xml><?xml version="1.0" encoding="utf-8"?>
<sst xmlns="http://schemas.openxmlformats.org/spreadsheetml/2006/main" count="445" uniqueCount="122">
  <si>
    <t>Stock Name</t>
  </si>
  <si>
    <t>Current Price</t>
  </si>
  <si>
    <t>Stock Price as of</t>
  </si>
  <si>
    <t>P/E Ratio</t>
  </si>
  <si>
    <t>Earnings Per Share</t>
  </si>
  <si>
    <t>Return on Equity</t>
  </si>
  <si>
    <t>Dividend Per Share</t>
  </si>
  <si>
    <t>Dividend Yield</t>
  </si>
  <si>
    <t>Net Income</t>
  </si>
  <si>
    <t>Operating Cashflow</t>
  </si>
  <si>
    <t>Sharpe Ratio</t>
  </si>
  <si>
    <t>Beta</t>
  </si>
  <si>
    <t>Expense Ratio</t>
  </si>
  <si>
    <t>Alpha</t>
  </si>
  <si>
    <t>Sector</t>
  </si>
  <si>
    <t>Type</t>
  </si>
  <si>
    <t>Location</t>
  </si>
  <si>
    <t>AAPL</t>
  </si>
  <si>
    <t>N/A</t>
  </si>
  <si>
    <t>USA</t>
  </si>
  <si>
    <t>Axis Bluechip</t>
  </si>
  <si>
    <t>India</t>
  </si>
  <si>
    <t>7203 (Toyota)</t>
  </si>
  <si>
    <t>Japan</t>
  </si>
  <si>
    <t>6098 (Recruit)</t>
  </si>
  <si>
    <t>WIPRO</t>
  </si>
  <si>
    <t>JUNIORBEES</t>
  </si>
  <si>
    <t>INFY</t>
  </si>
  <si>
    <t>1475 (iShares TOPIX)</t>
  </si>
  <si>
    <t>L&amp;G UK Index Trust</t>
  </si>
  <si>
    <t>UK</t>
  </si>
  <si>
    <t>ISF (iShares FTSE 100 ETF)</t>
  </si>
  <si>
    <t>SUNPHARMA</t>
  </si>
  <si>
    <t>1306 (TOPIX ETF)</t>
  </si>
  <si>
    <t>Axis Bluechip (14)</t>
  </si>
  <si>
    <t>SWPPX</t>
  </si>
  <si>
    <t>V</t>
  </si>
  <si>
    <t>ITC</t>
  </si>
  <si>
    <t>Daiwa TOPIX MF</t>
  </si>
  <si>
    <t>RELIANCE</t>
  </si>
  <si>
    <t>HCLTECH</t>
  </si>
  <si>
    <t>AZN (AstraZeneca)</t>
  </si>
  <si>
    <t>GSK (GlaxoSmithKline)</t>
  </si>
  <si>
    <t>PG</t>
  </si>
  <si>
    <t>BARC (Barclays)</t>
  </si>
  <si>
    <t>COST</t>
  </si>
  <si>
    <t>UNH</t>
  </si>
  <si>
    <t>6098 (Recruit) (27)</t>
  </si>
  <si>
    <t>NVDA</t>
  </si>
  <si>
    <t>7203 (Toyota) (86)</t>
  </si>
  <si>
    <t>WIPRO (44)</t>
  </si>
  <si>
    <t>SPY</t>
  </si>
  <si>
    <t>GOOGL</t>
  </si>
  <si>
    <t>IVV</t>
  </si>
  <si>
    <t>HINDUNILVR</t>
  </si>
  <si>
    <t>ITC (21)</t>
  </si>
  <si>
    <t>HINDUNILVR (4)</t>
  </si>
  <si>
    <t>7203 (Toyota) (15)</t>
  </si>
  <si>
    <t>VOO</t>
  </si>
  <si>
    <t>JUNIORBEES (56)</t>
  </si>
  <si>
    <t>7267 (Honda)</t>
  </si>
  <si>
    <t>1475 (iShares TOPIX) (71)</t>
  </si>
  <si>
    <t>L&amp;G UK Index Trust (87)</t>
  </si>
  <si>
    <t>9984 (SoftBank)</t>
  </si>
  <si>
    <t>VTI</t>
  </si>
  <si>
    <t>PG (99)</t>
  </si>
  <si>
    <t>HDFC Top 100</t>
  </si>
  <si>
    <t>L&amp;G UK Index Trust (21)</t>
  </si>
  <si>
    <t>BATS (British American Tobacco)</t>
  </si>
  <si>
    <t>HDFCBANK</t>
  </si>
  <si>
    <t>BlackRock UK Equity MF</t>
  </si>
  <si>
    <t>Parag Parikh Flexi</t>
  </si>
  <si>
    <t>HDFC Top 100 (17)</t>
  </si>
  <si>
    <t>BP (BP plc)</t>
  </si>
  <si>
    <t>RIO (Rio Tinto)</t>
  </si>
  <si>
    <t>V (26)</t>
  </si>
  <si>
    <t>PG (21)</t>
  </si>
  <si>
    <t>BHARTIARTL</t>
  </si>
  <si>
    <t>VFFVX</t>
  </si>
  <si>
    <t>BP (BP plc) (56)</t>
  </si>
  <si>
    <t>4568 (Daiichi Sankyo)</t>
  </si>
  <si>
    <t>Parag Parikh Flexi (28)</t>
  </si>
  <si>
    <t>HDFCBANK (31)</t>
  </si>
  <si>
    <t>LT</t>
  </si>
  <si>
    <t>BHARTIARTL (93)</t>
  </si>
  <si>
    <t>8306 (MUFG)</t>
  </si>
  <si>
    <t>MARUTI</t>
  </si>
  <si>
    <t>ULVR (Unilever)</t>
  </si>
  <si>
    <t>VFIAX</t>
  </si>
  <si>
    <t>BARC (Barclays) (76)</t>
  </si>
  <si>
    <t>HINDUNILVR (23)</t>
  </si>
  <si>
    <t>UNH (30)</t>
  </si>
  <si>
    <t>HDFCBANK (8)</t>
  </si>
  <si>
    <t>L&amp;G UK Index Trust (11)</t>
  </si>
  <si>
    <t>PG (87)</t>
  </si>
  <si>
    <t>HSBA (HSBC)</t>
  </si>
  <si>
    <t>VTI (12)</t>
  </si>
  <si>
    <t>Vanguard FTSE Dev World MF</t>
  </si>
  <si>
    <t>6861 (Keyence)</t>
  </si>
  <si>
    <t>HSBA (HSBC) (29)</t>
  </si>
  <si>
    <t>BlackRock UK Equity MF (32)</t>
  </si>
  <si>
    <t>TSLA</t>
  </si>
  <si>
    <t>BP (BP plc) (58)</t>
  </si>
  <si>
    <t>AXISBANK</t>
  </si>
  <si>
    <t>META</t>
  </si>
  <si>
    <t>HDFCBANK (61)</t>
  </si>
  <si>
    <t>AZN (AstraZeneca) (80)</t>
  </si>
  <si>
    <t>GSK (GlaxoSmithKline) (89)</t>
  </si>
  <si>
    <t>INFY (23)</t>
  </si>
  <si>
    <t>MS</t>
  </si>
  <si>
    <t>BARC (Barclays) (26)</t>
  </si>
  <si>
    <t>RIO (Rio Tinto) (2)</t>
  </si>
  <si>
    <t>4568 (Daiichi Sankyo) (82)</t>
  </si>
  <si>
    <t>AZN (AstraZeneca) (75)</t>
  </si>
  <si>
    <t>9432 (NTT)</t>
  </si>
  <si>
    <t>SUNPHARMA (93)</t>
  </si>
  <si>
    <t>1475 (iShares TOPIX) (82)</t>
  </si>
  <si>
    <t>MARUTI (9)</t>
  </si>
  <si>
    <t>ICICI Pru Bluechip</t>
  </si>
  <si>
    <t>SBI Bluechip Fund</t>
  </si>
  <si>
    <t>HDFC Top 100 (57)</t>
  </si>
  <si>
    <t>6758 (Sony)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</si>
</sst>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D997-3A97-BD46-ABB1-7D9CDB938328}">
  <dimension ref="A1:Q101"/>
  <sheetViews>
    <sheetView tabSelected="1" workbookViewId="0">
      <selection activeCell="Q1" sqref="Q1"/>
    </sheetView>
  </sheetViews>
  <sheetFormatPr baseColWidth="10" defaultRowHeight="16" x14ac:dyDescent="0.2"/>
  <cols>
    <col min="9" max="9" width="15.6640625" customWidth="1"/>
    <col min="10" max="10" width="15.1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447.51</v>
      </c>
      <c r="C2" s="1">
        <v>46260</v>
      </c>
      <c r="D2">
        <v>18.47</v>
      </c>
      <c r="E2">
        <v>24.23</v>
      </c>
      <c r="F2" s="2">
        <v>9.8799999999999999E-2</v>
      </c>
      <c r="G2">
        <v>1.54</v>
      </c>
      <c r="H2" s="2">
        <v>3.4399999999999999E-3</v>
      </c>
      <c r="I2">
        <v>37035980555</v>
      </c>
      <c r="J2">
        <v>43767513481</v>
      </c>
      <c r="K2">
        <v>1.66</v>
      </c>
      <c r="L2">
        <v>0.15</v>
      </c>
      <c r="M2" t="s">
        <v>18</v>
      </c>
      <c r="N2" s="2">
        <v>-3.1300000000000001E-2</v>
      </c>
      <c r="O2">
        <f>1</f>
        <v>1</v>
      </c>
      <c r="P2">
        <f>1</f>
        <v>1</v>
      </c>
      <c r="Q2" t="s">
        <v>19</v>
      </c>
    </row>
    <row r="3" spans="1:17" x14ac:dyDescent="0.2">
      <c r="A3" t="s">
        <v>20</v>
      </c>
      <c r="B3">
        <v>72.72</v>
      </c>
      <c r="C3" s="1">
        <v>46260</v>
      </c>
      <c r="D3" t="s">
        <v>18</v>
      </c>
      <c r="E3" t="s">
        <v>18</v>
      </c>
      <c r="F3" t="s">
        <v>18</v>
      </c>
      <c r="G3">
        <v>8.42</v>
      </c>
      <c r="H3" s="2">
        <v>0.11579</v>
      </c>
      <c r="I3" t="s">
        <v>18</v>
      </c>
      <c r="J3" t="s">
        <v>18</v>
      </c>
      <c r="K3">
        <v>2.2200000000000002</v>
      </c>
      <c r="L3">
        <v>1.29</v>
      </c>
      <c r="M3" s="2">
        <v>5.1999999999999998E-3</v>
      </c>
      <c r="N3" s="2">
        <v>3.9800000000000002E-2</v>
      </c>
      <c r="O3">
        <f>7</f>
        <v>7</v>
      </c>
      <c r="P3">
        <f>3</f>
        <v>3</v>
      </c>
      <c r="Q3" t="s">
        <v>21</v>
      </c>
    </row>
    <row r="4" spans="1:17" x14ac:dyDescent="0.2">
      <c r="A4" t="s">
        <v>22</v>
      </c>
      <c r="B4">
        <v>105.55</v>
      </c>
      <c r="C4" s="1">
        <v>46260</v>
      </c>
      <c r="D4">
        <v>13.78</v>
      </c>
      <c r="E4">
        <v>7.66</v>
      </c>
      <c r="F4" s="2">
        <v>0.19789999999999999</v>
      </c>
      <c r="G4">
        <v>4.17</v>
      </c>
      <c r="H4" s="2">
        <v>3.9510000000000003E-2</v>
      </c>
      <c r="I4">
        <v>10773534967</v>
      </c>
      <c r="J4">
        <v>14376699460</v>
      </c>
      <c r="K4">
        <v>-0.54</v>
      </c>
      <c r="L4">
        <v>0.75</v>
      </c>
      <c r="M4" t="s">
        <v>18</v>
      </c>
      <c r="N4" s="2">
        <v>2.18E-2</v>
      </c>
      <c r="O4">
        <f>4</f>
        <v>4</v>
      </c>
      <c r="P4">
        <f>1</f>
        <v>1</v>
      </c>
      <c r="Q4" t="s">
        <v>23</v>
      </c>
    </row>
    <row r="5" spans="1:17" x14ac:dyDescent="0.2">
      <c r="A5" t="s">
        <v>24</v>
      </c>
      <c r="B5">
        <v>112.05</v>
      </c>
      <c r="C5" s="1">
        <v>46260</v>
      </c>
      <c r="D5">
        <v>45.14</v>
      </c>
      <c r="E5">
        <v>2.48</v>
      </c>
      <c r="F5" s="2">
        <v>0.23769999999999999</v>
      </c>
      <c r="G5">
        <v>14.6</v>
      </c>
      <c r="H5" s="2">
        <v>0.1303</v>
      </c>
      <c r="I5">
        <v>18932933516</v>
      </c>
      <c r="J5">
        <v>22462570811</v>
      </c>
      <c r="K5">
        <v>2.73</v>
      </c>
      <c r="L5">
        <v>1.1499999999999999</v>
      </c>
      <c r="M5" t="s">
        <v>18</v>
      </c>
      <c r="N5" s="2">
        <v>0.12230000000000001</v>
      </c>
      <c r="O5">
        <f>9</f>
        <v>9</v>
      </c>
      <c r="P5">
        <f>1</f>
        <v>1</v>
      </c>
      <c r="Q5" t="s">
        <v>23</v>
      </c>
    </row>
    <row r="6" spans="1:17" x14ac:dyDescent="0.2">
      <c r="A6" t="s">
        <v>25</v>
      </c>
      <c r="B6">
        <v>9.4600000000000009</v>
      </c>
      <c r="C6" s="1">
        <v>46260</v>
      </c>
      <c r="D6">
        <v>41.37</v>
      </c>
      <c r="E6">
        <v>0.23</v>
      </c>
      <c r="F6" s="2">
        <v>0.3206</v>
      </c>
      <c r="G6">
        <v>14.78</v>
      </c>
      <c r="H6" s="2">
        <v>1.56185</v>
      </c>
      <c r="I6">
        <v>42767332873</v>
      </c>
      <c r="J6">
        <v>60153903081</v>
      </c>
      <c r="K6">
        <v>0.71</v>
      </c>
      <c r="L6">
        <v>0.87</v>
      </c>
      <c r="M6" t="s">
        <v>18</v>
      </c>
      <c r="N6" s="2">
        <v>0.1168</v>
      </c>
      <c r="O6">
        <f>1</f>
        <v>1</v>
      </c>
      <c r="P6">
        <f>1</f>
        <v>1</v>
      </c>
      <c r="Q6" t="s">
        <v>21</v>
      </c>
    </row>
    <row r="7" spans="1:17" x14ac:dyDescent="0.2">
      <c r="A7" t="s">
        <v>26</v>
      </c>
      <c r="B7">
        <v>43.41</v>
      </c>
      <c r="C7" s="1">
        <v>46260</v>
      </c>
      <c r="D7" t="s">
        <v>18</v>
      </c>
      <c r="E7" t="s">
        <v>18</v>
      </c>
      <c r="F7" t="s">
        <v>18</v>
      </c>
      <c r="G7">
        <v>10.050000000000001</v>
      </c>
      <c r="H7" s="2">
        <v>0.23153000000000001</v>
      </c>
      <c r="I7" t="s">
        <v>18</v>
      </c>
      <c r="J7" t="s">
        <v>18</v>
      </c>
      <c r="K7">
        <v>2.16</v>
      </c>
      <c r="L7">
        <v>1.26</v>
      </c>
      <c r="M7" s="2">
        <v>1.1000000000000001E-3</v>
      </c>
      <c r="N7" s="2">
        <v>7.6999999999999999E-2</v>
      </c>
      <c r="O7">
        <f>7</f>
        <v>7</v>
      </c>
      <c r="P7">
        <f>2</f>
        <v>2</v>
      </c>
      <c r="Q7" t="s">
        <v>21</v>
      </c>
    </row>
    <row r="8" spans="1:17" x14ac:dyDescent="0.2">
      <c r="A8" t="s">
        <v>27</v>
      </c>
      <c r="B8">
        <v>56.12</v>
      </c>
      <c r="C8" s="1">
        <v>46260</v>
      </c>
      <c r="D8">
        <v>19.850000000000001</v>
      </c>
      <c r="E8">
        <v>2.83</v>
      </c>
      <c r="F8" s="2">
        <v>0.37390000000000001</v>
      </c>
      <c r="G8">
        <v>10.32</v>
      </c>
      <c r="H8" s="2">
        <v>0.18390000000000001</v>
      </c>
      <c r="I8">
        <v>10988562546</v>
      </c>
      <c r="J8">
        <v>11285230813</v>
      </c>
      <c r="K8">
        <v>2.46</v>
      </c>
      <c r="L8">
        <v>0.2</v>
      </c>
      <c r="M8" t="s">
        <v>18</v>
      </c>
      <c r="N8" s="2">
        <v>0.1144</v>
      </c>
      <c r="O8">
        <f>1</f>
        <v>1</v>
      </c>
      <c r="P8">
        <f>1</f>
        <v>1</v>
      </c>
      <c r="Q8" t="s">
        <v>21</v>
      </c>
    </row>
    <row r="9" spans="1:17" x14ac:dyDescent="0.2">
      <c r="A9" t="s">
        <v>28</v>
      </c>
      <c r="B9">
        <v>39.47</v>
      </c>
      <c r="C9" s="1">
        <v>46260</v>
      </c>
      <c r="D9" t="s">
        <v>18</v>
      </c>
      <c r="E9" t="s">
        <v>18</v>
      </c>
      <c r="F9" t="s">
        <v>18</v>
      </c>
      <c r="G9">
        <v>3.16</v>
      </c>
      <c r="H9" s="2">
        <v>8.0049999999999996E-2</v>
      </c>
      <c r="I9" t="s">
        <v>18</v>
      </c>
      <c r="J9" t="s">
        <v>18</v>
      </c>
      <c r="K9">
        <v>3.24</v>
      </c>
      <c r="L9">
        <v>1.59</v>
      </c>
      <c r="M9" s="2">
        <v>4.0000000000000001E-3</v>
      </c>
      <c r="N9" s="2">
        <v>8.1100000000000005E-2</v>
      </c>
      <c r="O9">
        <f>7</f>
        <v>7</v>
      </c>
      <c r="P9">
        <f>2</f>
        <v>2</v>
      </c>
      <c r="Q9" t="s">
        <v>23</v>
      </c>
    </row>
    <row r="10" spans="1:17" x14ac:dyDescent="0.2">
      <c r="A10" t="s">
        <v>29</v>
      </c>
      <c r="B10">
        <v>24.14</v>
      </c>
      <c r="C10" s="1">
        <v>46260</v>
      </c>
      <c r="D10" t="s">
        <v>18</v>
      </c>
      <c r="E10" t="s">
        <v>18</v>
      </c>
      <c r="F10" t="s">
        <v>18</v>
      </c>
      <c r="G10">
        <v>2.09</v>
      </c>
      <c r="H10" s="2">
        <v>8.6559999999999998E-2</v>
      </c>
      <c r="I10" t="s">
        <v>18</v>
      </c>
      <c r="J10" t="s">
        <v>18</v>
      </c>
      <c r="K10">
        <v>2.35</v>
      </c>
      <c r="L10">
        <v>1.02</v>
      </c>
      <c r="M10" s="2">
        <v>8.9999999999999993E-3</v>
      </c>
      <c r="N10" s="2">
        <v>3.5700000000000003E-2</v>
      </c>
      <c r="O10">
        <f>7</f>
        <v>7</v>
      </c>
      <c r="P10">
        <f>3</f>
        <v>3</v>
      </c>
      <c r="Q10" t="s">
        <v>30</v>
      </c>
    </row>
    <row r="11" spans="1:17" x14ac:dyDescent="0.2">
      <c r="A11" t="s">
        <v>31</v>
      </c>
      <c r="B11">
        <v>33.590000000000003</v>
      </c>
      <c r="C11" s="1">
        <v>46260</v>
      </c>
      <c r="D11" t="s">
        <v>18</v>
      </c>
      <c r="E11" t="s">
        <v>18</v>
      </c>
      <c r="F11" t="s">
        <v>18</v>
      </c>
      <c r="G11">
        <v>14.96</v>
      </c>
      <c r="H11" s="2">
        <v>0.44541999999999998</v>
      </c>
      <c r="I11" t="s">
        <v>18</v>
      </c>
      <c r="J11" t="s">
        <v>18</v>
      </c>
      <c r="K11">
        <v>1.29</v>
      </c>
      <c r="L11">
        <v>0.25</v>
      </c>
      <c r="M11" s="2">
        <v>8.9999999999999998E-4</v>
      </c>
      <c r="N11" s="2">
        <v>-2.81E-2</v>
      </c>
      <c r="O11">
        <f>7</f>
        <v>7</v>
      </c>
      <c r="P11">
        <f>2</f>
        <v>2</v>
      </c>
      <c r="Q11" t="s">
        <v>30</v>
      </c>
    </row>
    <row r="12" spans="1:17" x14ac:dyDescent="0.2">
      <c r="A12" t="s">
        <v>32</v>
      </c>
      <c r="B12">
        <v>51.35</v>
      </c>
      <c r="C12" s="1">
        <v>46260</v>
      </c>
      <c r="D12">
        <v>8.49</v>
      </c>
      <c r="E12">
        <v>6.05</v>
      </c>
      <c r="F12" s="2">
        <v>0.18360000000000001</v>
      </c>
      <c r="G12">
        <v>14.94</v>
      </c>
      <c r="H12" s="2">
        <v>0.29093000000000002</v>
      </c>
      <c r="I12">
        <v>26460426111</v>
      </c>
      <c r="J12">
        <v>39154944249</v>
      </c>
      <c r="K12">
        <v>2.87</v>
      </c>
      <c r="L12">
        <v>0.12</v>
      </c>
      <c r="M12" t="s">
        <v>18</v>
      </c>
      <c r="N12" s="2">
        <v>9.4100000000000003E-2</v>
      </c>
      <c r="O12">
        <f>8</f>
        <v>8</v>
      </c>
      <c r="P12">
        <f>1</f>
        <v>1</v>
      </c>
      <c r="Q12" t="s">
        <v>21</v>
      </c>
    </row>
    <row r="13" spans="1:17" x14ac:dyDescent="0.2">
      <c r="A13" t="s">
        <v>33</v>
      </c>
      <c r="B13">
        <v>18.46</v>
      </c>
      <c r="C13" s="1">
        <v>46260</v>
      </c>
      <c r="D13" t="s">
        <v>18</v>
      </c>
      <c r="E13" t="s">
        <v>18</v>
      </c>
      <c r="F13" t="s">
        <v>18</v>
      </c>
      <c r="G13">
        <v>6.52</v>
      </c>
      <c r="H13" s="2">
        <v>0.35321000000000002</v>
      </c>
      <c r="I13" t="s">
        <v>18</v>
      </c>
      <c r="J13" t="s">
        <v>18</v>
      </c>
      <c r="K13">
        <v>1.04</v>
      </c>
      <c r="L13">
        <v>1.72</v>
      </c>
      <c r="M13" s="2">
        <v>1.0500000000000001E-2</v>
      </c>
      <c r="N13" s="2">
        <v>2.7000000000000001E-3</v>
      </c>
      <c r="O13">
        <f>7</f>
        <v>7</v>
      </c>
      <c r="P13">
        <f>2</f>
        <v>2</v>
      </c>
      <c r="Q13" t="s">
        <v>23</v>
      </c>
    </row>
    <row r="14" spans="1:17" x14ac:dyDescent="0.2">
      <c r="A14" t="s">
        <v>34</v>
      </c>
      <c r="B14">
        <v>104.62</v>
      </c>
      <c r="C14" s="1">
        <v>46260</v>
      </c>
      <c r="D14" t="s">
        <v>18</v>
      </c>
      <c r="E14" t="s">
        <v>18</v>
      </c>
      <c r="F14" t="s">
        <v>18</v>
      </c>
      <c r="G14">
        <v>4.4800000000000004</v>
      </c>
      <c r="H14" s="2">
        <v>4.2819999999999997E-2</v>
      </c>
      <c r="I14" t="s">
        <v>18</v>
      </c>
      <c r="J14" t="s">
        <v>18</v>
      </c>
      <c r="K14">
        <v>1.88</v>
      </c>
      <c r="L14">
        <v>1.1399999999999999</v>
      </c>
      <c r="M14" s="2">
        <v>2.0999999999999999E-3</v>
      </c>
      <c r="N14" s="2">
        <v>0.10249999999999999</v>
      </c>
      <c r="O14">
        <f>7</f>
        <v>7</v>
      </c>
      <c r="P14">
        <f>3</f>
        <v>3</v>
      </c>
      <c r="Q14" t="s">
        <v>21</v>
      </c>
    </row>
    <row r="15" spans="1:17" x14ac:dyDescent="0.2">
      <c r="A15" t="s">
        <v>35</v>
      </c>
      <c r="B15">
        <v>201.25</v>
      </c>
      <c r="C15" s="1">
        <v>46260</v>
      </c>
      <c r="D15" t="s">
        <v>18</v>
      </c>
      <c r="E15" t="s">
        <v>18</v>
      </c>
      <c r="F15" t="s">
        <v>18</v>
      </c>
      <c r="G15">
        <v>0.28999999999999998</v>
      </c>
      <c r="H15" s="2">
        <v>1.4400000000000001E-3</v>
      </c>
      <c r="I15" t="s">
        <v>18</v>
      </c>
      <c r="J15" t="s">
        <v>18</v>
      </c>
      <c r="K15">
        <v>3.18</v>
      </c>
      <c r="L15">
        <v>1.59</v>
      </c>
      <c r="M15" s="2">
        <v>0.01</v>
      </c>
      <c r="N15" s="2">
        <v>1.15E-2</v>
      </c>
      <c r="O15">
        <f>7</f>
        <v>7</v>
      </c>
      <c r="P15">
        <f>3</f>
        <v>3</v>
      </c>
      <c r="Q15" t="s">
        <v>19</v>
      </c>
    </row>
    <row r="16" spans="1:17" x14ac:dyDescent="0.2">
      <c r="A16" t="s">
        <v>36</v>
      </c>
      <c r="B16">
        <v>528.03</v>
      </c>
      <c r="C16" s="1">
        <v>46260</v>
      </c>
      <c r="D16">
        <v>57.08</v>
      </c>
      <c r="E16">
        <v>9.25</v>
      </c>
      <c r="F16" s="2">
        <v>0.08</v>
      </c>
      <c r="G16">
        <v>7.29</v>
      </c>
      <c r="H16" s="2">
        <v>1.3809999999999999E-2</v>
      </c>
      <c r="I16">
        <v>3469933798</v>
      </c>
      <c r="J16">
        <v>4623414450</v>
      </c>
      <c r="K16">
        <v>2.4500000000000002</v>
      </c>
      <c r="L16">
        <v>0.32</v>
      </c>
      <c r="M16" t="s">
        <v>18</v>
      </c>
      <c r="N16" s="2">
        <v>4.5100000000000001E-2</v>
      </c>
      <c r="O16">
        <f>2</f>
        <v>2</v>
      </c>
      <c r="P16">
        <f>1</f>
        <v>1</v>
      </c>
      <c r="Q16" t="s">
        <v>19</v>
      </c>
    </row>
    <row r="17" spans="1:17" x14ac:dyDescent="0.2">
      <c r="A17" t="s">
        <v>37</v>
      </c>
      <c r="B17">
        <v>63.89</v>
      </c>
      <c r="C17" s="1">
        <v>46260</v>
      </c>
      <c r="D17">
        <v>38.36</v>
      </c>
      <c r="E17">
        <v>1.67</v>
      </c>
      <c r="F17" s="2">
        <v>0.38750000000000001</v>
      </c>
      <c r="G17">
        <v>13.93</v>
      </c>
      <c r="H17" s="2">
        <v>0.21804000000000001</v>
      </c>
      <c r="I17">
        <v>37765707179</v>
      </c>
      <c r="J17">
        <v>48449903033</v>
      </c>
      <c r="K17">
        <v>2.21</v>
      </c>
      <c r="L17">
        <v>0.78</v>
      </c>
      <c r="M17" t="s">
        <v>18</v>
      </c>
      <c r="N17" s="2">
        <v>8.43E-2</v>
      </c>
      <c r="O17">
        <f>4</f>
        <v>4</v>
      </c>
      <c r="P17">
        <f>1</f>
        <v>1</v>
      </c>
      <c r="Q17" t="s">
        <v>21</v>
      </c>
    </row>
    <row r="18" spans="1:17" x14ac:dyDescent="0.2">
      <c r="A18" t="s">
        <v>38</v>
      </c>
      <c r="B18">
        <v>124.49</v>
      </c>
      <c r="C18" s="1">
        <v>46260</v>
      </c>
      <c r="D18" t="s">
        <v>18</v>
      </c>
      <c r="E18" t="s">
        <v>18</v>
      </c>
      <c r="F18" t="s">
        <v>18</v>
      </c>
      <c r="G18">
        <v>6.77</v>
      </c>
      <c r="H18" s="2">
        <v>5.4379999999999998E-2</v>
      </c>
      <c r="I18" t="s">
        <v>18</v>
      </c>
      <c r="J18" t="s">
        <v>18</v>
      </c>
      <c r="K18">
        <v>0.12</v>
      </c>
      <c r="L18">
        <v>0.21</v>
      </c>
      <c r="M18" s="2">
        <v>5.0000000000000001E-4</v>
      </c>
      <c r="N18" s="2">
        <v>6.08E-2</v>
      </c>
      <c r="O18">
        <f>7</f>
        <v>7</v>
      </c>
      <c r="P18">
        <f>3</f>
        <v>3</v>
      </c>
      <c r="Q18" t="s">
        <v>23</v>
      </c>
    </row>
    <row r="19" spans="1:17" x14ac:dyDescent="0.2">
      <c r="A19" t="s">
        <v>39</v>
      </c>
      <c r="B19">
        <v>9.6300000000000008</v>
      </c>
      <c r="C19" s="1">
        <v>46260</v>
      </c>
      <c r="D19">
        <v>39.71</v>
      </c>
      <c r="E19">
        <v>0.24</v>
      </c>
      <c r="F19" s="2">
        <v>0.13009999999999999</v>
      </c>
      <c r="G19">
        <v>13.58</v>
      </c>
      <c r="H19" s="2">
        <v>1.4095899999999999</v>
      </c>
      <c r="I19">
        <v>42983173658</v>
      </c>
      <c r="J19">
        <v>36518510569</v>
      </c>
      <c r="K19">
        <v>7.0000000000000007E-2</v>
      </c>
      <c r="L19">
        <v>1.24</v>
      </c>
      <c r="M19" t="s">
        <v>18</v>
      </c>
      <c r="N19" s="2">
        <v>-7.1999999999999998E-3</v>
      </c>
      <c r="O19">
        <f>3</f>
        <v>3</v>
      </c>
      <c r="P19">
        <f>1</f>
        <v>1</v>
      </c>
      <c r="Q19" t="s">
        <v>21</v>
      </c>
    </row>
    <row r="20" spans="1:17" x14ac:dyDescent="0.2">
      <c r="A20" t="s">
        <v>40</v>
      </c>
      <c r="B20">
        <v>112.34</v>
      </c>
      <c r="C20" s="1">
        <v>46260</v>
      </c>
      <c r="D20">
        <v>36.409999999999997</v>
      </c>
      <c r="E20">
        <v>3.09</v>
      </c>
      <c r="F20" s="2">
        <v>0.21540000000000001</v>
      </c>
      <c r="G20">
        <v>11.77</v>
      </c>
      <c r="H20" s="2">
        <v>0.10477</v>
      </c>
      <c r="I20">
        <v>40376774918</v>
      </c>
      <c r="J20">
        <v>37683116712</v>
      </c>
      <c r="K20">
        <v>-0.56000000000000005</v>
      </c>
      <c r="L20">
        <v>0.83</v>
      </c>
      <c r="M20" t="s">
        <v>18</v>
      </c>
      <c r="N20" s="2">
        <v>3.4700000000000002E-2</v>
      </c>
      <c r="O20">
        <f>1</f>
        <v>1</v>
      </c>
      <c r="P20">
        <f>1</f>
        <v>1</v>
      </c>
      <c r="Q20" t="s">
        <v>21</v>
      </c>
    </row>
    <row r="21" spans="1:17" x14ac:dyDescent="0.2">
      <c r="A21" t="s">
        <v>41</v>
      </c>
      <c r="B21">
        <v>89.66</v>
      </c>
      <c r="C21" s="1">
        <v>46260</v>
      </c>
      <c r="D21">
        <v>59.13</v>
      </c>
      <c r="E21">
        <v>1.52</v>
      </c>
      <c r="F21" s="2">
        <v>8.4400000000000003E-2</v>
      </c>
      <c r="G21">
        <v>6.04</v>
      </c>
      <c r="H21" s="2">
        <v>6.7369999999999999E-2</v>
      </c>
      <c r="I21">
        <v>16971737243</v>
      </c>
      <c r="J21">
        <v>23814245707</v>
      </c>
      <c r="K21">
        <v>0.12</v>
      </c>
      <c r="L21">
        <v>0.42</v>
      </c>
      <c r="M21" t="s">
        <v>18</v>
      </c>
      <c r="N21" s="2">
        <v>3.9699999999999999E-2</v>
      </c>
      <c r="O21">
        <f>8</f>
        <v>8</v>
      </c>
      <c r="P21">
        <f>1</f>
        <v>1</v>
      </c>
      <c r="Q21" t="s">
        <v>30</v>
      </c>
    </row>
    <row r="22" spans="1:17" x14ac:dyDescent="0.2">
      <c r="A22" t="s">
        <v>42</v>
      </c>
      <c r="B22">
        <v>40.9</v>
      </c>
      <c r="C22" s="1">
        <v>46260</v>
      </c>
      <c r="D22">
        <v>18.739999999999998</v>
      </c>
      <c r="E22">
        <v>2.1800000000000002</v>
      </c>
      <c r="F22" s="2">
        <v>0.37309999999999999</v>
      </c>
      <c r="G22">
        <v>6.65</v>
      </c>
      <c r="H22" s="2">
        <v>0.16259000000000001</v>
      </c>
      <c r="I22">
        <v>43068841747</v>
      </c>
      <c r="J22">
        <v>51046385051</v>
      </c>
      <c r="K22">
        <v>-0.77</v>
      </c>
      <c r="L22">
        <v>1.8</v>
      </c>
      <c r="M22" t="s">
        <v>18</v>
      </c>
      <c r="N22" s="2">
        <v>0.1172</v>
      </c>
      <c r="O22">
        <f>8</f>
        <v>8</v>
      </c>
      <c r="P22">
        <f>1</f>
        <v>1</v>
      </c>
      <c r="Q22" t="s">
        <v>30</v>
      </c>
    </row>
    <row r="23" spans="1:17" x14ac:dyDescent="0.2">
      <c r="A23" t="s">
        <v>43</v>
      </c>
      <c r="B23">
        <v>510.73</v>
      </c>
      <c r="C23" s="1">
        <v>46260</v>
      </c>
      <c r="D23">
        <v>14.15</v>
      </c>
      <c r="E23">
        <v>36.090000000000003</v>
      </c>
      <c r="F23" s="2">
        <v>0.22</v>
      </c>
      <c r="G23">
        <v>3.21</v>
      </c>
      <c r="H23" s="2">
        <v>6.2899999999999996E-3</v>
      </c>
      <c r="I23">
        <v>20058004224</v>
      </c>
      <c r="J23">
        <v>16869679749</v>
      </c>
      <c r="K23">
        <v>0.71</v>
      </c>
      <c r="L23">
        <v>1.78</v>
      </c>
      <c r="M23" t="s">
        <v>18</v>
      </c>
      <c r="N23" s="2">
        <v>3.0000000000000001E-3</v>
      </c>
      <c r="O23">
        <f>4</f>
        <v>4</v>
      </c>
      <c r="P23">
        <f>1</f>
        <v>1</v>
      </c>
      <c r="Q23" t="s">
        <v>19</v>
      </c>
    </row>
    <row r="24" spans="1:17" x14ac:dyDescent="0.2">
      <c r="A24" t="s">
        <v>44</v>
      </c>
      <c r="B24">
        <v>58.74</v>
      </c>
      <c r="C24" s="1">
        <v>46260</v>
      </c>
      <c r="D24">
        <v>57.65</v>
      </c>
      <c r="E24">
        <v>1.02</v>
      </c>
      <c r="F24" s="2">
        <v>0.39839999999999998</v>
      </c>
      <c r="G24">
        <v>8.34</v>
      </c>
      <c r="H24" s="2">
        <v>0.14198</v>
      </c>
      <c r="I24">
        <v>35923229682</v>
      </c>
      <c r="J24">
        <v>32631145081</v>
      </c>
      <c r="K24">
        <v>0.34</v>
      </c>
      <c r="L24">
        <v>1.75</v>
      </c>
      <c r="M24" t="s">
        <v>18</v>
      </c>
      <c r="N24" s="2">
        <v>6.5799999999999997E-2</v>
      </c>
      <c r="O24">
        <f>2</f>
        <v>2</v>
      </c>
      <c r="P24">
        <f>1</f>
        <v>1</v>
      </c>
      <c r="Q24" t="s">
        <v>30</v>
      </c>
    </row>
    <row r="25" spans="1:17" x14ac:dyDescent="0.2">
      <c r="A25" t="s">
        <v>45</v>
      </c>
      <c r="B25">
        <v>195.03</v>
      </c>
      <c r="C25" s="1">
        <v>46260</v>
      </c>
      <c r="D25">
        <v>7.76</v>
      </c>
      <c r="E25">
        <v>25.13</v>
      </c>
      <c r="F25" s="2">
        <v>0.21690000000000001</v>
      </c>
      <c r="G25">
        <v>13.79</v>
      </c>
      <c r="H25" s="2">
        <v>7.0709999999999995E-2</v>
      </c>
      <c r="I25">
        <v>26560995502</v>
      </c>
      <c r="J25">
        <v>22306341184</v>
      </c>
      <c r="K25">
        <v>1.29</v>
      </c>
      <c r="L25">
        <v>1.55</v>
      </c>
      <c r="M25" t="s">
        <v>18</v>
      </c>
      <c r="N25" s="2">
        <v>-3.6299999999999999E-2</v>
      </c>
      <c r="O25">
        <f>4</f>
        <v>4</v>
      </c>
      <c r="P25">
        <f>1</f>
        <v>1</v>
      </c>
      <c r="Q25" t="s">
        <v>19</v>
      </c>
    </row>
    <row r="26" spans="1:17" x14ac:dyDescent="0.2">
      <c r="A26" t="s">
        <v>46</v>
      </c>
      <c r="B26">
        <v>518.47</v>
      </c>
      <c r="C26" s="1">
        <v>46260</v>
      </c>
      <c r="D26">
        <v>27.21</v>
      </c>
      <c r="E26">
        <v>19.05</v>
      </c>
      <c r="F26" s="2">
        <v>0.37959999999999999</v>
      </c>
      <c r="G26">
        <v>8.5500000000000007</v>
      </c>
      <c r="H26" s="2">
        <v>1.6490000000000001E-2</v>
      </c>
      <c r="I26">
        <v>28950163684</v>
      </c>
      <c r="J26">
        <v>23965500287</v>
      </c>
      <c r="K26">
        <v>-0.63</v>
      </c>
      <c r="L26">
        <v>1.22</v>
      </c>
      <c r="M26" t="s">
        <v>18</v>
      </c>
      <c r="N26" s="2">
        <v>6.3E-2</v>
      </c>
      <c r="O26">
        <f>8</f>
        <v>8</v>
      </c>
      <c r="P26">
        <f>1</f>
        <v>1</v>
      </c>
      <c r="Q26" t="s">
        <v>19</v>
      </c>
    </row>
    <row r="27" spans="1:17" x14ac:dyDescent="0.2">
      <c r="A27" t="s">
        <v>47</v>
      </c>
      <c r="B27">
        <v>93.56</v>
      </c>
      <c r="C27" s="1">
        <v>46260</v>
      </c>
      <c r="D27">
        <v>22.28</v>
      </c>
      <c r="E27">
        <v>4.2</v>
      </c>
      <c r="F27" s="2">
        <v>0.14299999999999999</v>
      </c>
      <c r="G27">
        <v>1.96</v>
      </c>
      <c r="H27" s="2">
        <v>2.095E-2</v>
      </c>
      <c r="I27">
        <v>32278584433</v>
      </c>
      <c r="J27">
        <v>36153860925</v>
      </c>
      <c r="K27">
        <v>3.18</v>
      </c>
      <c r="L27">
        <v>1.69</v>
      </c>
      <c r="M27" t="s">
        <v>18</v>
      </c>
      <c r="N27" s="2">
        <v>-4.8099999999999997E-2</v>
      </c>
      <c r="O27">
        <f>9</f>
        <v>9</v>
      </c>
      <c r="P27">
        <f>1</f>
        <v>1</v>
      </c>
      <c r="Q27" t="s">
        <v>23</v>
      </c>
    </row>
    <row r="28" spans="1:17" x14ac:dyDescent="0.2">
      <c r="A28" t="s">
        <v>48</v>
      </c>
      <c r="B28">
        <v>327.2</v>
      </c>
      <c r="C28" s="1">
        <v>46260</v>
      </c>
      <c r="D28">
        <v>32.82</v>
      </c>
      <c r="E28">
        <v>9.9700000000000006</v>
      </c>
      <c r="F28" s="2">
        <v>9.64E-2</v>
      </c>
      <c r="G28">
        <v>5.24</v>
      </c>
      <c r="H28" s="2">
        <v>1.601E-2</v>
      </c>
      <c r="I28">
        <v>3448877789</v>
      </c>
      <c r="J28">
        <v>3348857200</v>
      </c>
      <c r="K28">
        <v>0.28000000000000003</v>
      </c>
      <c r="L28">
        <v>0.84</v>
      </c>
      <c r="M28" t="s">
        <v>18</v>
      </c>
      <c r="N28" s="2">
        <v>5.8599999999999999E-2</v>
      </c>
      <c r="O28">
        <f>1</f>
        <v>1</v>
      </c>
      <c r="P28">
        <f>1</f>
        <v>1</v>
      </c>
      <c r="Q28" t="s">
        <v>19</v>
      </c>
    </row>
    <row r="29" spans="1:17" x14ac:dyDescent="0.2">
      <c r="A29" t="s">
        <v>49</v>
      </c>
      <c r="B29">
        <v>113.39</v>
      </c>
      <c r="C29" s="1">
        <v>46260</v>
      </c>
      <c r="D29">
        <v>21.47</v>
      </c>
      <c r="E29">
        <v>5.28</v>
      </c>
      <c r="F29" s="2">
        <v>0.28220000000000001</v>
      </c>
      <c r="G29">
        <v>14.08</v>
      </c>
      <c r="H29" s="2">
        <v>0.12417</v>
      </c>
      <c r="I29">
        <v>6723212808</v>
      </c>
      <c r="J29">
        <v>5921806307</v>
      </c>
      <c r="K29">
        <v>-0.52</v>
      </c>
      <c r="L29">
        <v>1.04</v>
      </c>
      <c r="M29" t="s">
        <v>18</v>
      </c>
      <c r="N29" s="2">
        <v>4.4999999999999997E-3</v>
      </c>
      <c r="O29">
        <f>4</f>
        <v>4</v>
      </c>
      <c r="P29">
        <f>1</f>
        <v>1</v>
      </c>
      <c r="Q29" t="s">
        <v>23</v>
      </c>
    </row>
    <row r="30" spans="1:17" x14ac:dyDescent="0.2">
      <c r="A30" t="s">
        <v>50</v>
      </c>
      <c r="B30">
        <v>25.39</v>
      </c>
      <c r="C30" s="1">
        <v>46260</v>
      </c>
      <c r="D30">
        <v>39.880000000000003</v>
      </c>
      <c r="E30">
        <v>0.64</v>
      </c>
      <c r="F30" s="2">
        <v>0.1424</v>
      </c>
      <c r="G30">
        <v>7.33</v>
      </c>
      <c r="H30" s="2">
        <v>0.28872999999999999</v>
      </c>
      <c r="I30">
        <v>45267771189</v>
      </c>
      <c r="J30">
        <v>63025077458</v>
      </c>
      <c r="K30">
        <v>-0.57999999999999996</v>
      </c>
      <c r="L30">
        <v>0.82</v>
      </c>
      <c r="M30" t="s">
        <v>18</v>
      </c>
      <c r="N30" s="2">
        <v>5.3E-3</v>
      </c>
      <c r="O30">
        <f>1</f>
        <v>1</v>
      </c>
      <c r="P30">
        <f>1</f>
        <v>1</v>
      </c>
      <c r="Q30" t="s">
        <v>21</v>
      </c>
    </row>
    <row r="31" spans="1:17" x14ac:dyDescent="0.2">
      <c r="A31" t="s">
        <v>51</v>
      </c>
      <c r="B31">
        <v>464.96</v>
      </c>
      <c r="C31" s="1">
        <v>46260</v>
      </c>
      <c r="D31" t="s">
        <v>18</v>
      </c>
      <c r="E31" t="s">
        <v>18</v>
      </c>
      <c r="F31" t="s">
        <v>18</v>
      </c>
      <c r="G31">
        <v>9.56</v>
      </c>
      <c r="H31" s="2">
        <v>2.0559999999999998E-2</v>
      </c>
      <c r="I31" t="s">
        <v>18</v>
      </c>
      <c r="J31" t="s">
        <v>18</v>
      </c>
      <c r="K31">
        <v>0.18</v>
      </c>
      <c r="L31">
        <v>1.36</v>
      </c>
      <c r="M31" s="2">
        <v>6.7999999999999996E-3</v>
      </c>
      <c r="N31" s="2">
        <v>3.5499999999999997E-2</v>
      </c>
      <c r="O31">
        <f>7</f>
        <v>7</v>
      </c>
      <c r="P31">
        <f>2</f>
        <v>2</v>
      </c>
      <c r="Q31" t="s">
        <v>19</v>
      </c>
    </row>
    <row r="32" spans="1:17" x14ac:dyDescent="0.2">
      <c r="A32" t="s">
        <v>52</v>
      </c>
      <c r="B32">
        <v>54.39</v>
      </c>
      <c r="C32" s="1">
        <v>46260</v>
      </c>
      <c r="D32">
        <v>53.57</v>
      </c>
      <c r="E32">
        <v>1.02</v>
      </c>
      <c r="F32" s="2">
        <v>0.3664</v>
      </c>
      <c r="G32">
        <v>8.18</v>
      </c>
      <c r="H32" s="2">
        <v>0.15038000000000001</v>
      </c>
      <c r="I32">
        <v>41731405044</v>
      </c>
      <c r="J32">
        <v>50401383898</v>
      </c>
      <c r="K32">
        <v>-0.33</v>
      </c>
      <c r="L32">
        <v>0.32</v>
      </c>
      <c r="M32" t="s">
        <v>18</v>
      </c>
      <c r="N32" s="2">
        <v>1.17E-2</v>
      </c>
      <c r="O32">
        <f>5</f>
        <v>5</v>
      </c>
      <c r="P32">
        <f>1</f>
        <v>1</v>
      </c>
      <c r="Q32" t="s">
        <v>19</v>
      </c>
    </row>
    <row r="33" spans="1:17" x14ac:dyDescent="0.2">
      <c r="A33" t="s">
        <v>53</v>
      </c>
      <c r="B33">
        <v>133.94999999999999</v>
      </c>
      <c r="C33" s="1">
        <v>46260</v>
      </c>
      <c r="D33" t="s">
        <v>18</v>
      </c>
      <c r="E33" t="s">
        <v>18</v>
      </c>
      <c r="F33" t="s">
        <v>18</v>
      </c>
      <c r="G33">
        <v>3.74</v>
      </c>
      <c r="H33" s="2">
        <v>2.792E-2</v>
      </c>
      <c r="I33" t="s">
        <v>18</v>
      </c>
      <c r="J33" t="s">
        <v>18</v>
      </c>
      <c r="K33">
        <v>-0.54</v>
      </c>
      <c r="L33">
        <v>1.43</v>
      </c>
      <c r="M33" s="2">
        <v>1.06E-2</v>
      </c>
      <c r="N33" s="2">
        <v>3.1300000000000001E-2</v>
      </c>
      <c r="O33">
        <f>7</f>
        <v>7</v>
      </c>
      <c r="P33">
        <f>2</f>
        <v>2</v>
      </c>
      <c r="Q33" t="s">
        <v>19</v>
      </c>
    </row>
    <row r="34" spans="1:17" x14ac:dyDescent="0.2">
      <c r="A34" t="s">
        <v>54</v>
      </c>
      <c r="B34">
        <v>103.92</v>
      </c>
      <c r="C34" s="1">
        <v>46260</v>
      </c>
      <c r="D34">
        <v>58.69</v>
      </c>
      <c r="E34">
        <v>1.77</v>
      </c>
      <c r="F34" s="2">
        <v>0.33379999999999999</v>
      </c>
      <c r="G34">
        <v>13.22</v>
      </c>
      <c r="H34" s="2">
        <v>0.12722</v>
      </c>
      <c r="I34">
        <v>1249070231</v>
      </c>
      <c r="J34">
        <v>1643270713</v>
      </c>
      <c r="K34">
        <v>0.49</v>
      </c>
      <c r="L34">
        <v>1.68</v>
      </c>
      <c r="M34" t="s">
        <v>18</v>
      </c>
      <c r="N34" s="2">
        <v>0.1104</v>
      </c>
      <c r="O34">
        <f>4</f>
        <v>4</v>
      </c>
      <c r="P34">
        <f>1</f>
        <v>1</v>
      </c>
      <c r="Q34" t="s">
        <v>21</v>
      </c>
    </row>
    <row r="35" spans="1:17" x14ac:dyDescent="0.2">
      <c r="A35" t="s">
        <v>55</v>
      </c>
      <c r="B35">
        <v>94.74</v>
      </c>
      <c r="C35" s="1">
        <v>46260</v>
      </c>
      <c r="D35">
        <v>10.95</v>
      </c>
      <c r="E35">
        <v>8.65</v>
      </c>
      <c r="F35" s="2">
        <v>0.3553</v>
      </c>
      <c r="G35">
        <v>12.88</v>
      </c>
      <c r="H35" s="2">
        <v>0.13594999999999999</v>
      </c>
      <c r="I35">
        <v>11129461540</v>
      </c>
      <c r="J35">
        <v>15265287686</v>
      </c>
      <c r="K35">
        <v>1.07</v>
      </c>
      <c r="L35">
        <v>0.62</v>
      </c>
      <c r="M35" t="s">
        <v>18</v>
      </c>
      <c r="N35" s="2">
        <v>0.1091</v>
      </c>
      <c r="O35">
        <f>4</f>
        <v>4</v>
      </c>
      <c r="P35">
        <f>1</f>
        <v>1</v>
      </c>
      <c r="Q35" t="s">
        <v>21</v>
      </c>
    </row>
    <row r="36" spans="1:17" x14ac:dyDescent="0.2">
      <c r="A36" t="s">
        <v>56</v>
      </c>
      <c r="B36">
        <v>79.61</v>
      </c>
      <c r="C36" s="1">
        <v>46260</v>
      </c>
      <c r="D36">
        <v>26.92</v>
      </c>
      <c r="E36">
        <v>2.96</v>
      </c>
      <c r="F36" s="2">
        <v>0.14749999999999999</v>
      </c>
      <c r="G36">
        <v>1.04</v>
      </c>
      <c r="H36" s="2">
        <v>1.306E-2</v>
      </c>
      <c r="I36">
        <v>38668598605</v>
      </c>
      <c r="J36">
        <v>40439708986</v>
      </c>
      <c r="K36">
        <v>1.29</v>
      </c>
      <c r="L36">
        <v>1.26</v>
      </c>
      <c r="M36" t="s">
        <v>18</v>
      </c>
      <c r="N36" s="2">
        <v>0.1187</v>
      </c>
      <c r="O36">
        <f>4</f>
        <v>4</v>
      </c>
      <c r="P36">
        <f>1</f>
        <v>1</v>
      </c>
      <c r="Q36" t="s">
        <v>21</v>
      </c>
    </row>
    <row r="37" spans="1:17" x14ac:dyDescent="0.2">
      <c r="A37" t="s">
        <v>57</v>
      </c>
      <c r="B37">
        <v>121.46</v>
      </c>
      <c r="C37" s="1">
        <v>46260</v>
      </c>
      <c r="D37">
        <v>19.37</v>
      </c>
      <c r="E37">
        <v>6.27</v>
      </c>
      <c r="F37" s="2">
        <v>0.25319999999999998</v>
      </c>
      <c r="G37">
        <v>14.75</v>
      </c>
      <c r="H37" s="2">
        <v>0.12144000000000001</v>
      </c>
      <c r="I37">
        <v>1922477295</v>
      </c>
      <c r="J37">
        <v>2340808120</v>
      </c>
      <c r="K37">
        <v>0.56000000000000005</v>
      </c>
      <c r="L37">
        <v>1.44</v>
      </c>
      <c r="M37" t="s">
        <v>18</v>
      </c>
      <c r="N37" s="2">
        <v>3.73E-2</v>
      </c>
      <c r="O37">
        <f>4</f>
        <v>4</v>
      </c>
      <c r="P37">
        <f>1</f>
        <v>1</v>
      </c>
      <c r="Q37" t="s">
        <v>23</v>
      </c>
    </row>
    <row r="38" spans="1:17" x14ac:dyDescent="0.2">
      <c r="A38" t="s">
        <v>58</v>
      </c>
      <c r="B38">
        <v>540.71</v>
      </c>
      <c r="C38" s="1">
        <v>46260</v>
      </c>
      <c r="D38" t="s">
        <v>18</v>
      </c>
      <c r="E38" t="s">
        <v>18</v>
      </c>
      <c r="F38" t="s">
        <v>18</v>
      </c>
      <c r="G38">
        <v>2.85</v>
      </c>
      <c r="H38" s="2">
        <v>5.2700000000000004E-3</v>
      </c>
      <c r="I38" t="s">
        <v>18</v>
      </c>
      <c r="J38" t="s">
        <v>18</v>
      </c>
      <c r="K38">
        <v>-0.8</v>
      </c>
      <c r="L38">
        <v>0.84</v>
      </c>
      <c r="M38" s="2">
        <v>6.4000000000000003E-3</v>
      </c>
      <c r="N38" s="2">
        <v>0.1113</v>
      </c>
      <c r="O38">
        <f>7</f>
        <v>7</v>
      </c>
      <c r="P38">
        <f>2</f>
        <v>2</v>
      </c>
      <c r="Q38" t="s">
        <v>19</v>
      </c>
    </row>
    <row r="39" spans="1:17" x14ac:dyDescent="0.2">
      <c r="A39" t="s">
        <v>59</v>
      </c>
      <c r="B39">
        <v>9.51</v>
      </c>
      <c r="C39" s="1">
        <v>46260</v>
      </c>
      <c r="D39" t="s">
        <v>18</v>
      </c>
      <c r="E39" t="s">
        <v>18</v>
      </c>
      <c r="F39" t="s">
        <v>18</v>
      </c>
      <c r="G39">
        <v>9.9600000000000009</v>
      </c>
      <c r="H39" s="2">
        <v>1.0469999999999999</v>
      </c>
      <c r="I39" t="s">
        <v>18</v>
      </c>
      <c r="J39" t="s">
        <v>18</v>
      </c>
      <c r="K39">
        <v>0.49</v>
      </c>
      <c r="L39">
        <v>0.63</v>
      </c>
      <c r="M39" s="2">
        <v>1.0200000000000001E-2</v>
      </c>
      <c r="N39" s="2">
        <v>9.4E-2</v>
      </c>
      <c r="O39">
        <f>7</f>
        <v>7</v>
      </c>
      <c r="P39">
        <f>2</f>
        <v>2</v>
      </c>
      <c r="Q39" t="s">
        <v>21</v>
      </c>
    </row>
    <row r="40" spans="1:17" x14ac:dyDescent="0.2">
      <c r="A40" t="s">
        <v>60</v>
      </c>
      <c r="B40">
        <v>93.18</v>
      </c>
      <c r="C40" s="1">
        <v>46260</v>
      </c>
      <c r="D40">
        <v>22.94</v>
      </c>
      <c r="E40">
        <v>4.0599999999999996</v>
      </c>
      <c r="F40" s="2">
        <v>0.29399999999999998</v>
      </c>
      <c r="G40">
        <v>8.32</v>
      </c>
      <c r="H40" s="2">
        <v>8.9289999999999994E-2</v>
      </c>
      <c r="I40">
        <v>9600086248</v>
      </c>
      <c r="J40">
        <v>12148434940</v>
      </c>
      <c r="K40">
        <v>0.71</v>
      </c>
      <c r="L40">
        <v>1.37</v>
      </c>
      <c r="M40" t="s">
        <v>18</v>
      </c>
      <c r="N40" s="2">
        <v>-1.52E-2</v>
      </c>
      <c r="O40">
        <f>4</f>
        <v>4</v>
      </c>
      <c r="P40">
        <f>1</f>
        <v>1</v>
      </c>
      <c r="Q40" t="s">
        <v>23</v>
      </c>
    </row>
    <row r="41" spans="1:17" x14ac:dyDescent="0.2">
      <c r="A41" t="s">
        <v>61</v>
      </c>
      <c r="B41">
        <v>115.63</v>
      </c>
      <c r="C41" s="1">
        <v>46260</v>
      </c>
      <c r="D41" t="s">
        <v>18</v>
      </c>
      <c r="E41" t="s">
        <v>18</v>
      </c>
      <c r="F41" t="s">
        <v>18</v>
      </c>
      <c r="G41">
        <v>4.5599999999999996</v>
      </c>
      <c r="H41" s="2">
        <v>3.9440000000000003E-2</v>
      </c>
      <c r="I41" t="s">
        <v>18</v>
      </c>
      <c r="J41" t="s">
        <v>18</v>
      </c>
      <c r="K41">
        <v>-0.05</v>
      </c>
      <c r="L41">
        <v>1.44</v>
      </c>
      <c r="M41" s="2">
        <v>7.4000000000000003E-3</v>
      </c>
      <c r="N41" s="2">
        <v>1.44E-2</v>
      </c>
      <c r="O41">
        <f>7</f>
        <v>7</v>
      </c>
      <c r="P41">
        <f>2</f>
        <v>2</v>
      </c>
      <c r="Q41" t="s">
        <v>23</v>
      </c>
    </row>
    <row r="42" spans="1:17" x14ac:dyDescent="0.2">
      <c r="A42" t="s">
        <v>62</v>
      </c>
      <c r="B42">
        <v>32.89</v>
      </c>
      <c r="C42" s="1">
        <v>46260</v>
      </c>
      <c r="D42" t="s">
        <v>18</v>
      </c>
      <c r="E42" t="s">
        <v>18</v>
      </c>
      <c r="F42" t="s">
        <v>18</v>
      </c>
      <c r="G42">
        <v>7.1</v>
      </c>
      <c r="H42" s="2">
        <v>0.21586</v>
      </c>
      <c r="I42" t="s">
        <v>18</v>
      </c>
      <c r="J42" t="s">
        <v>18</v>
      </c>
      <c r="K42">
        <v>3.06</v>
      </c>
      <c r="L42">
        <v>1.45</v>
      </c>
      <c r="M42" s="2">
        <v>2.3E-3</v>
      </c>
      <c r="N42" s="2">
        <v>-3.3000000000000002E-2</v>
      </c>
      <c r="O42">
        <f>7</f>
        <v>7</v>
      </c>
      <c r="P42">
        <f>3</f>
        <v>3</v>
      </c>
      <c r="Q42" t="s">
        <v>30</v>
      </c>
    </row>
    <row r="43" spans="1:17" x14ac:dyDescent="0.2">
      <c r="A43" t="s">
        <v>63</v>
      </c>
      <c r="B43">
        <v>113.57</v>
      </c>
      <c r="C43" s="1">
        <v>46260</v>
      </c>
      <c r="D43">
        <v>46.31</v>
      </c>
      <c r="E43">
        <v>2.4500000000000002</v>
      </c>
      <c r="F43" s="2">
        <v>0.28549999999999998</v>
      </c>
      <c r="G43">
        <v>3.37</v>
      </c>
      <c r="H43" s="2">
        <v>2.9669999999999998E-2</v>
      </c>
      <c r="I43">
        <v>9964505337</v>
      </c>
      <c r="J43">
        <v>8141975104</v>
      </c>
      <c r="K43">
        <v>0.1</v>
      </c>
      <c r="L43">
        <v>0.91</v>
      </c>
      <c r="M43" t="s">
        <v>18</v>
      </c>
      <c r="N43" s="2">
        <v>0.11990000000000001</v>
      </c>
      <c r="O43">
        <f>1</f>
        <v>1</v>
      </c>
      <c r="P43">
        <f>1</f>
        <v>1</v>
      </c>
      <c r="Q43" t="s">
        <v>23</v>
      </c>
    </row>
    <row r="44" spans="1:17" x14ac:dyDescent="0.2">
      <c r="A44" t="s">
        <v>64</v>
      </c>
      <c r="B44">
        <v>254.52</v>
      </c>
      <c r="C44" s="1">
        <v>46260</v>
      </c>
      <c r="D44" t="s">
        <v>18</v>
      </c>
      <c r="E44" t="s">
        <v>18</v>
      </c>
      <c r="F44" t="s">
        <v>18</v>
      </c>
      <c r="G44">
        <v>9.4499999999999993</v>
      </c>
      <c r="H44" s="2">
        <v>3.7130000000000003E-2</v>
      </c>
      <c r="I44" t="s">
        <v>18</v>
      </c>
      <c r="J44" t="s">
        <v>18</v>
      </c>
      <c r="K44">
        <v>-0.13</v>
      </c>
      <c r="L44">
        <v>1.28</v>
      </c>
      <c r="M44" s="2">
        <v>6.1000000000000004E-3</v>
      </c>
      <c r="N44" s="2">
        <v>-1.1999999999999999E-3</v>
      </c>
      <c r="O44">
        <f>7</f>
        <v>7</v>
      </c>
      <c r="P44">
        <f>2</f>
        <v>2</v>
      </c>
      <c r="Q44" t="s">
        <v>19</v>
      </c>
    </row>
    <row r="45" spans="1:17" x14ac:dyDescent="0.2">
      <c r="A45" t="s">
        <v>65</v>
      </c>
      <c r="B45">
        <v>532.41999999999996</v>
      </c>
      <c r="C45" s="1">
        <v>46260</v>
      </c>
      <c r="D45">
        <v>47.81</v>
      </c>
      <c r="E45">
        <v>11.14</v>
      </c>
      <c r="F45" s="2">
        <v>0.12659999999999999</v>
      </c>
      <c r="G45">
        <v>12.06</v>
      </c>
      <c r="H45" s="2">
        <v>2.265E-2</v>
      </c>
      <c r="I45">
        <v>34798629702</v>
      </c>
      <c r="J45">
        <v>39154893349</v>
      </c>
      <c r="K45">
        <v>1.51</v>
      </c>
      <c r="L45">
        <v>1.66</v>
      </c>
      <c r="M45" t="s">
        <v>18</v>
      </c>
      <c r="N45" s="2">
        <v>-2.5700000000000001E-2</v>
      </c>
      <c r="O45">
        <f>4</f>
        <v>4</v>
      </c>
      <c r="P45">
        <f>1</f>
        <v>1</v>
      </c>
      <c r="Q45" t="s">
        <v>19</v>
      </c>
    </row>
    <row r="46" spans="1:17" x14ac:dyDescent="0.2">
      <c r="A46" t="s">
        <v>66</v>
      </c>
      <c r="B46">
        <v>80.510000000000005</v>
      </c>
      <c r="C46" s="1">
        <v>46260</v>
      </c>
      <c r="D46" t="s">
        <v>18</v>
      </c>
      <c r="E46" t="s">
        <v>18</v>
      </c>
      <c r="F46" t="s">
        <v>18</v>
      </c>
      <c r="G46">
        <v>14.82</v>
      </c>
      <c r="H46" s="2">
        <v>0.18407999999999999</v>
      </c>
      <c r="I46" t="s">
        <v>18</v>
      </c>
      <c r="J46" t="s">
        <v>18</v>
      </c>
      <c r="K46">
        <v>1.68</v>
      </c>
      <c r="L46">
        <v>1.72</v>
      </c>
      <c r="M46" s="2">
        <v>1.0699999999999999E-2</v>
      </c>
      <c r="N46" s="2">
        <v>7.2499999999999995E-2</v>
      </c>
      <c r="O46">
        <f>7</f>
        <v>7</v>
      </c>
      <c r="P46">
        <f>3</f>
        <v>3</v>
      </c>
      <c r="Q46" t="s">
        <v>21</v>
      </c>
    </row>
    <row r="47" spans="1:17" x14ac:dyDescent="0.2">
      <c r="A47" t="s">
        <v>67</v>
      </c>
      <c r="B47">
        <v>98.34</v>
      </c>
      <c r="C47" s="1">
        <v>46260</v>
      </c>
      <c r="D47" t="s">
        <v>18</v>
      </c>
      <c r="E47" t="s">
        <v>18</v>
      </c>
      <c r="F47" t="s">
        <v>18</v>
      </c>
      <c r="G47">
        <v>7.12</v>
      </c>
      <c r="H47" s="2">
        <v>7.2400000000000006E-2</v>
      </c>
      <c r="I47" t="s">
        <v>18</v>
      </c>
      <c r="J47" t="s">
        <v>18</v>
      </c>
      <c r="K47">
        <v>0.17</v>
      </c>
      <c r="L47">
        <v>0.52</v>
      </c>
      <c r="M47" s="2">
        <v>7.7999999999999996E-3</v>
      </c>
      <c r="N47" s="2">
        <v>0.1032</v>
      </c>
      <c r="O47">
        <f>7</f>
        <v>7</v>
      </c>
      <c r="P47">
        <f>3</f>
        <v>3</v>
      </c>
      <c r="Q47" t="s">
        <v>30</v>
      </c>
    </row>
    <row r="48" spans="1:17" x14ac:dyDescent="0.2">
      <c r="A48" t="s">
        <v>68</v>
      </c>
      <c r="B48">
        <v>40.409999999999997</v>
      </c>
      <c r="C48" s="1">
        <v>46260</v>
      </c>
      <c r="D48">
        <v>9.26</v>
      </c>
      <c r="E48">
        <v>4.3600000000000003</v>
      </c>
      <c r="F48" s="2">
        <v>0.15</v>
      </c>
      <c r="G48">
        <v>4.08</v>
      </c>
      <c r="H48" s="2">
        <v>0.10095999999999999</v>
      </c>
      <c r="I48">
        <v>15992281325</v>
      </c>
      <c r="J48">
        <v>18840611470</v>
      </c>
      <c r="K48">
        <v>-0.38</v>
      </c>
      <c r="L48">
        <v>0.49</v>
      </c>
      <c r="M48" t="s">
        <v>18</v>
      </c>
      <c r="N48" s="2">
        <v>8.8800000000000004E-2</v>
      </c>
      <c r="O48">
        <f>4</f>
        <v>4</v>
      </c>
      <c r="P48">
        <f>1</f>
        <v>1</v>
      </c>
      <c r="Q48" t="s">
        <v>30</v>
      </c>
    </row>
    <row r="49" spans="1:17" x14ac:dyDescent="0.2">
      <c r="A49" t="s">
        <v>69</v>
      </c>
      <c r="B49">
        <v>50.49</v>
      </c>
      <c r="C49" s="1">
        <v>46260</v>
      </c>
      <c r="D49">
        <v>23.2</v>
      </c>
      <c r="E49">
        <v>2.1800000000000002</v>
      </c>
      <c r="F49" s="2">
        <v>0.21310000000000001</v>
      </c>
      <c r="G49">
        <v>0.93</v>
      </c>
      <c r="H49" s="2">
        <v>1.8419999999999999E-2</v>
      </c>
      <c r="I49">
        <v>41646229555</v>
      </c>
      <c r="J49">
        <v>44671152166</v>
      </c>
      <c r="K49">
        <v>2.46</v>
      </c>
      <c r="L49">
        <v>1.71</v>
      </c>
      <c r="M49" t="s">
        <v>18</v>
      </c>
      <c r="N49" s="2">
        <v>-4.6100000000000002E-2</v>
      </c>
      <c r="O49">
        <f>2</f>
        <v>2</v>
      </c>
      <c r="P49">
        <f>1</f>
        <v>1</v>
      </c>
      <c r="Q49" t="s">
        <v>21</v>
      </c>
    </row>
    <row r="50" spans="1:17" x14ac:dyDescent="0.2">
      <c r="A50" t="s">
        <v>70</v>
      </c>
      <c r="B50">
        <v>7.23</v>
      </c>
      <c r="C50" s="1">
        <v>46260</v>
      </c>
      <c r="D50" t="s">
        <v>18</v>
      </c>
      <c r="E50" t="s">
        <v>18</v>
      </c>
      <c r="F50" t="s">
        <v>18</v>
      </c>
      <c r="G50">
        <v>5.28</v>
      </c>
      <c r="H50" s="2">
        <v>0.73048000000000002</v>
      </c>
      <c r="I50" t="s">
        <v>18</v>
      </c>
      <c r="J50" t="s">
        <v>18</v>
      </c>
      <c r="K50">
        <v>2.39</v>
      </c>
      <c r="L50">
        <v>1.55</v>
      </c>
      <c r="M50" s="2">
        <v>1.15E-2</v>
      </c>
      <c r="N50" s="2">
        <v>3.3799999999999997E-2</v>
      </c>
      <c r="O50">
        <f>7</f>
        <v>7</v>
      </c>
      <c r="P50">
        <f>3</f>
        <v>3</v>
      </c>
      <c r="Q50" t="s">
        <v>30</v>
      </c>
    </row>
    <row r="51" spans="1:17" x14ac:dyDescent="0.2">
      <c r="A51" t="s">
        <v>71</v>
      </c>
      <c r="B51">
        <v>27.27</v>
      </c>
      <c r="C51" s="1">
        <v>46260</v>
      </c>
      <c r="D51" t="s">
        <v>18</v>
      </c>
      <c r="E51" t="s">
        <v>18</v>
      </c>
      <c r="F51" t="s">
        <v>18</v>
      </c>
      <c r="G51">
        <v>6.54</v>
      </c>
      <c r="H51" s="2">
        <v>0.23985000000000001</v>
      </c>
      <c r="I51" t="s">
        <v>18</v>
      </c>
      <c r="J51" t="s">
        <v>18</v>
      </c>
      <c r="K51">
        <v>-0.87</v>
      </c>
      <c r="L51">
        <v>0.67</v>
      </c>
      <c r="M51" s="2">
        <v>8.2000000000000007E-3</v>
      </c>
      <c r="N51" s="2">
        <v>3.09E-2</v>
      </c>
      <c r="O51">
        <f>7</f>
        <v>7</v>
      </c>
      <c r="P51">
        <f>3</f>
        <v>3</v>
      </c>
      <c r="Q51" t="s">
        <v>21</v>
      </c>
    </row>
    <row r="52" spans="1:17" x14ac:dyDescent="0.2">
      <c r="A52" t="s">
        <v>72</v>
      </c>
      <c r="B52">
        <v>117.71</v>
      </c>
      <c r="C52" s="1">
        <v>46260</v>
      </c>
      <c r="D52" t="s">
        <v>18</v>
      </c>
      <c r="E52" t="s">
        <v>18</v>
      </c>
      <c r="F52" t="s">
        <v>18</v>
      </c>
      <c r="G52">
        <v>8.01</v>
      </c>
      <c r="H52" s="2">
        <v>6.8049999999999999E-2</v>
      </c>
      <c r="I52" t="s">
        <v>18</v>
      </c>
      <c r="J52" t="s">
        <v>18</v>
      </c>
      <c r="K52">
        <v>3.08</v>
      </c>
      <c r="L52">
        <v>1.1100000000000001</v>
      </c>
      <c r="M52" s="2">
        <v>8.0999999999999996E-3</v>
      </c>
      <c r="N52" s="2">
        <v>-3.32E-2</v>
      </c>
      <c r="O52">
        <f>7</f>
        <v>7</v>
      </c>
      <c r="P52">
        <f>3</f>
        <v>3</v>
      </c>
      <c r="Q52" t="s">
        <v>21</v>
      </c>
    </row>
    <row r="53" spans="1:17" x14ac:dyDescent="0.2">
      <c r="A53" t="s">
        <v>73</v>
      </c>
      <c r="B53">
        <v>113.56</v>
      </c>
      <c r="C53" s="1">
        <v>46260</v>
      </c>
      <c r="D53">
        <v>15</v>
      </c>
      <c r="E53">
        <v>7.57</v>
      </c>
      <c r="F53" s="2">
        <v>0.1411</v>
      </c>
      <c r="G53">
        <v>4.91</v>
      </c>
      <c r="H53" s="2">
        <v>4.3240000000000001E-2</v>
      </c>
      <c r="I53">
        <v>22740419257</v>
      </c>
      <c r="J53">
        <v>23564768179</v>
      </c>
      <c r="K53">
        <v>2.96</v>
      </c>
      <c r="L53">
        <v>0.56999999999999995</v>
      </c>
      <c r="M53" t="s">
        <v>18</v>
      </c>
      <c r="N53" s="2">
        <v>0.14019999999999999</v>
      </c>
      <c r="O53">
        <f>3</f>
        <v>3</v>
      </c>
      <c r="P53">
        <f>1</f>
        <v>1</v>
      </c>
      <c r="Q53" t="s">
        <v>30</v>
      </c>
    </row>
    <row r="54" spans="1:17" x14ac:dyDescent="0.2">
      <c r="A54" t="s">
        <v>74</v>
      </c>
      <c r="B54">
        <v>109.61</v>
      </c>
      <c r="C54" s="1">
        <v>46260</v>
      </c>
      <c r="D54">
        <v>30.87</v>
      </c>
      <c r="E54">
        <v>3.55</v>
      </c>
      <c r="F54" s="2">
        <v>0.31219999999999998</v>
      </c>
      <c r="G54">
        <v>0.78</v>
      </c>
      <c r="H54" s="2">
        <v>7.1199999999999996E-3</v>
      </c>
      <c r="I54">
        <v>47596465422</v>
      </c>
      <c r="J54">
        <v>45547700127</v>
      </c>
      <c r="K54">
        <v>-0.69</v>
      </c>
      <c r="L54">
        <v>1.73</v>
      </c>
      <c r="M54" t="s">
        <v>18</v>
      </c>
      <c r="N54" s="2">
        <v>-4.19E-2</v>
      </c>
      <c r="O54">
        <f>9</f>
        <v>9</v>
      </c>
      <c r="P54">
        <f>1</f>
        <v>1</v>
      </c>
      <c r="Q54" t="s">
        <v>30</v>
      </c>
    </row>
    <row r="55" spans="1:17" x14ac:dyDescent="0.2">
      <c r="A55" t="s">
        <v>75</v>
      </c>
      <c r="B55">
        <v>505.15</v>
      </c>
      <c r="C55" s="1">
        <v>46260</v>
      </c>
      <c r="D55">
        <v>39.17</v>
      </c>
      <c r="E55">
        <v>12.9</v>
      </c>
      <c r="F55" s="2">
        <v>0.13350000000000001</v>
      </c>
      <c r="G55">
        <v>7.1</v>
      </c>
      <c r="H55" s="2">
        <v>1.406E-2</v>
      </c>
      <c r="I55">
        <v>5728328411</v>
      </c>
      <c r="J55">
        <v>8383007162</v>
      </c>
      <c r="K55">
        <v>1.0900000000000001</v>
      </c>
      <c r="L55">
        <v>0.54</v>
      </c>
      <c r="M55" t="s">
        <v>18</v>
      </c>
      <c r="N55" s="2">
        <v>2.3800000000000002E-2</v>
      </c>
      <c r="O55">
        <f>2</f>
        <v>2</v>
      </c>
      <c r="P55">
        <f>1</f>
        <v>1</v>
      </c>
      <c r="Q55" t="s">
        <v>19</v>
      </c>
    </row>
    <row r="56" spans="1:17" x14ac:dyDescent="0.2">
      <c r="A56" t="s">
        <v>76</v>
      </c>
      <c r="B56">
        <v>579.19000000000005</v>
      </c>
      <c r="C56" s="1">
        <v>46260</v>
      </c>
      <c r="D56">
        <v>10.95</v>
      </c>
      <c r="E56">
        <v>52.89</v>
      </c>
      <c r="F56" s="2">
        <v>5.8999999999999997E-2</v>
      </c>
      <c r="G56">
        <v>4.68</v>
      </c>
      <c r="H56" s="2">
        <v>8.0800000000000004E-3</v>
      </c>
      <c r="I56">
        <v>33870590869</v>
      </c>
      <c r="J56">
        <v>49814188824</v>
      </c>
      <c r="K56">
        <v>0.78</v>
      </c>
      <c r="L56">
        <v>1.32</v>
      </c>
      <c r="M56" t="s">
        <v>18</v>
      </c>
      <c r="N56" s="2">
        <v>-3.4799999999999998E-2</v>
      </c>
      <c r="O56">
        <f>4</f>
        <v>4</v>
      </c>
      <c r="P56">
        <f>1</f>
        <v>1</v>
      </c>
      <c r="Q56" t="s">
        <v>19</v>
      </c>
    </row>
    <row r="57" spans="1:17" x14ac:dyDescent="0.2">
      <c r="A57" t="s">
        <v>77</v>
      </c>
      <c r="B57">
        <v>84.03</v>
      </c>
      <c r="C57" s="1">
        <v>46260</v>
      </c>
      <c r="D57">
        <v>21.59</v>
      </c>
      <c r="E57">
        <v>3.89</v>
      </c>
      <c r="F57" s="2">
        <v>0.28949999999999998</v>
      </c>
      <c r="G57">
        <v>12.08</v>
      </c>
      <c r="H57" s="2">
        <v>0.14376</v>
      </c>
      <c r="I57">
        <v>39813398557</v>
      </c>
      <c r="J57">
        <v>47622907713</v>
      </c>
      <c r="K57">
        <v>-0.82</v>
      </c>
      <c r="L57">
        <v>1.01</v>
      </c>
      <c r="M57" t="s">
        <v>18</v>
      </c>
      <c r="N57" s="2">
        <v>8.2299999999999998E-2</v>
      </c>
      <c r="O57">
        <f>5</f>
        <v>5</v>
      </c>
      <c r="P57">
        <f>1</f>
        <v>1</v>
      </c>
      <c r="Q57" t="s">
        <v>21</v>
      </c>
    </row>
    <row r="58" spans="1:17" x14ac:dyDescent="0.2">
      <c r="A58" t="s">
        <v>78</v>
      </c>
      <c r="B58">
        <v>392.05</v>
      </c>
      <c r="C58" s="1">
        <v>46260</v>
      </c>
      <c r="D58" t="s">
        <v>18</v>
      </c>
      <c r="E58" t="s">
        <v>18</v>
      </c>
      <c r="F58" t="s">
        <v>18</v>
      </c>
      <c r="G58">
        <v>0.19</v>
      </c>
      <c r="H58" s="2">
        <v>4.8000000000000001E-4</v>
      </c>
      <c r="I58" t="s">
        <v>18</v>
      </c>
      <c r="J58" t="s">
        <v>18</v>
      </c>
      <c r="K58">
        <v>0.89</v>
      </c>
      <c r="L58">
        <v>0.93</v>
      </c>
      <c r="M58" s="2">
        <v>5.4000000000000003E-3</v>
      </c>
      <c r="N58" s="2">
        <v>2.24E-2</v>
      </c>
      <c r="O58">
        <f>10</f>
        <v>10</v>
      </c>
      <c r="P58">
        <f>3</f>
        <v>3</v>
      </c>
      <c r="Q58" t="s">
        <v>19</v>
      </c>
    </row>
    <row r="59" spans="1:17" x14ac:dyDescent="0.2">
      <c r="A59" t="s">
        <v>79</v>
      </c>
      <c r="B59">
        <v>28.25</v>
      </c>
      <c r="C59" s="1">
        <v>46260</v>
      </c>
      <c r="D59">
        <v>33.700000000000003</v>
      </c>
      <c r="E59">
        <v>0.84</v>
      </c>
      <c r="F59" s="2">
        <v>0.2777</v>
      </c>
      <c r="G59">
        <v>9.24</v>
      </c>
      <c r="H59" s="2">
        <v>0.32705000000000001</v>
      </c>
      <c r="I59">
        <v>45981686668</v>
      </c>
      <c r="J59">
        <v>61718873650</v>
      </c>
      <c r="K59">
        <v>1.0900000000000001</v>
      </c>
      <c r="L59">
        <v>1.5</v>
      </c>
      <c r="M59" t="s">
        <v>18</v>
      </c>
      <c r="N59" s="2">
        <v>6.8500000000000005E-2</v>
      </c>
      <c r="O59">
        <f>3</f>
        <v>3</v>
      </c>
      <c r="P59">
        <f>1</f>
        <v>1</v>
      </c>
      <c r="Q59" t="s">
        <v>30</v>
      </c>
    </row>
    <row r="60" spans="1:17" x14ac:dyDescent="0.2">
      <c r="A60" t="s">
        <v>80</v>
      </c>
      <c r="B60">
        <v>115.22</v>
      </c>
      <c r="C60" s="1">
        <v>46260</v>
      </c>
      <c r="D60">
        <v>9.77</v>
      </c>
      <c r="E60">
        <v>11.79</v>
      </c>
      <c r="F60" s="2">
        <v>0.35859999999999997</v>
      </c>
      <c r="G60">
        <v>3.66</v>
      </c>
      <c r="H60" s="2">
        <v>3.1759999999999997E-2</v>
      </c>
      <c r="I60">
        <v>23240776245</v>
      </c>
      <c r="J60">
        <v>28521828797</v>
      </c>
      <c r="K60">
        <v>0.71</v>
      </c>
      <c r="L60">
        <v>0.15</v>
      </c>
      <c r="M60" t="s">
        <v>18</v>
      </c>
      <c r="N60" s="2">
        <v>0.1202</v>
      </c>
      <c r="O60">
        <f>8</f>
        <v>8</v>
      </c>
      <c r="P60">
        <f>1</f>
        <v>1</v>
      </c>
      <c r="Q60" t="s">
        <v>23</v>
      </c>
    </row>
    <row r="61" spans="1:17" x14ac:dyDescent="0.2">
      <c r="A61" t="s">
        <v>81</v>
      </c>
      <c r="B61">
        <v>43.35</v>
      </c>
      <c r="C61" s="1">
        <v>46260</v>
      </c>
      <c r="D61" t="s">
        <v>18</v>
      </c>
      <c r="E61" t="s">
        <v>18</v>
      </c>
      <c r="F61" t="s">
        <v>18</v>
      </c>
      <c r="G61">
        <v>3.88</v>
      </c>
      <c r="H61" s="2">
        <v>8.9499999999999996E-2</v>
      </c>
      <c r="I61" t="s">
        <v>18</v>
      </c>
      <c r="J61" t="s">
        <v>18</v>
      </c>
      <c r="K61">
        <v>0.26</v>
      </c>
      <c r="L61">
        <v>1.1100000000000001</v>
      </c>
      <c r="M61" s="2">
        <v>1.06E-2</v>
      </c>
      <c r="N61" s="2">
        <v>6.1199999999999997E-2</v>
      </c>
      <c r="O61">
        <f>7</f>
        <v>7</v>
      </c>
      <c r="P61">
        <f>3</f>
        <v>3</v>
      </c>
      <c r="Q61" t="s">
        <v>21</v>
      </c>
    </row>
    <row r="62" spans="1:17" x14ac:dyDescent="0.2">
      <c r="A62" t="s">
        <v>82</v>
      </c>
      <c r="B62">
        <v>86.74</v>
      </c>
      <c r="C62" s="1">
        <v>46260</v>
      </c>
      <c r="D62">
        <v>31.87</v>
      </c>
      <c r="E62">
        <v>2.72</v>
      </c>
      <c r="F62" s="2">
        <v>0.31540000000000001</v>
      </c>
      <c r="G62">
        <v>10.36</v>
      </c>
      <c r="H62" s="2">
        <v>0.11942999999999999</v>
      </c>
      <c r="I62">
        <v>32298685958</v>
      </c>
      <c r="J62">
        <v>36935967680</v>
      </c>
      <c r="K62">
        <v>2.57</v>
      </c>
      <c r="L62">
        <v>0.26</v>
      </c>
      <c r="M62" t="s">
        <v>18</v>
      </c>
      <c r="N62" s="2">
        <v>-5.7000000000000002E-3</v>
      </c>
      <c r="O62">
        <f>2</f>
        <v>2</v>
      </c>
      <c r="P62">
        <f>1</f>
        <v>1</v>
      </c>
      <c r="Q62" t="s">
        <v>21</v>
      </c>
    </row>
    <row r="63" spans="1:17" x14ac:dyDescent="0.2">
      <c r="A63" t="s">
        <v>83</v>
      </c>
      <c r="B63">
        <v>80.08</v>
      </c>
      <c r="C63" s="1">
        <v>46260</v>
      </c>
      <c r="D63">
        <v>25.3</v>
      </c>
      <c r="E63">
        <v>3.17</v>
      </c>
      <c r="F63" s="2">
        <v>0.2437</v>
      </c>
      <c r="G63">
        <v>5.16</v>
      </c>
      <c r="H63" s="2">
        <v>6.4439999999999997E-2</v>
      </c>
      <c r="I63">
        <v>49831606883</v>
      </c>
      <c r="J63">
        <v>59064004911</v>
      </c>
      <c r="K63">
        <v>0.57999999999999996</v>
      </c>
      <c r="L63">
        <v>0.87</v>
      </c>
      <c r="M63" t="s">
        <v>18</v>
      </c>
      <c r="N63" s="2">
        <v>1.1299999999999999E-2</v>
      </c>
      <c r="O63">
        <f>9</f>
        <v>9</v>
      </c>
      <c r="P63">
        <f>1</f>
        <v>1</v>
      </c>
      <c r="Q63" t="s">
        <v>21</v>
      </c>
    </row>
    <row r="64" spans="1:17" x14ac:dyDescent="0.2">
      <c r="A64" t="s">
        <v>84</v>
      </c>
      <c r="B64">
        <v>24.08</v>
      </c>
      <c r="C64" s="1">
        <v>46260</v>
      </c>
      <c r="D64">
        <v>11.58</v>
      </c>
      <c r="E64">
        <v>2.08</v>
      </c>
      <c r="F64" s="2">
        <v>0.23760000000000001</v>
      </c>
      <c r="G64">
        <v>11.43</v>
      </c>
      <c r="H64" s="2">
        <v>0.47469</v>
      </c>
      <c r="I64">
        <v>9265640623</v>
      </c>
      <c r="J64">
        <v>8815972115</v>
      </c>
      <c r="K64">
        <v>1.18</v>
      </c>
      <c r="L64">
        <v>1.33</v>
      </c>
      <c r="M64" t="s">
        <v>18</v>
      </c>
      <c r="N64" s="2">
        <v>0.14530000000000001</v>
      </c>
      <c r="O64">
        <f>5</f>
        <v>5</v>
      </c>
      <c r="P64">
        <f>1</f>
        <v>1</v>
      </c>
      <c r="Q64" t="s">
        <v>21</v>
      </c>
    </row>
    <row r="65" spans="1:17" x14ac:dyDescent="0.2">
      <c r="A65" t="s">
        <v>85</v>
      </c>
      <c r="B65">
        <v>115.48</v>
      </c>
      <c r="C65" s="1">
        <v>46260</v>
      </c>
      <c r="D65">
        <v>21.29</v>
      </c>
      <c r="E65">
        <v>5.42</v>
      </c>
      <c r="F65" s="2">
        <v>0.17630000000000001</v>
      </c>
      <c r="G65">
        <v>4.53</v>
      </c>
      <c r="H65" s="2">
        <v>3.9230000000000001E-2</v>
      </c>
      <c r="I65">
        <v>35403844100</v>
      </c>
      <c r="J65">
        <v>31460141643</v>
      </c>
      <c r="K65">
        <v>-0.8</v>
      </c>
      <c r="L65">
        <v>0.19</v>
      </c>
      <c r="M65" t="s">
        <v>18</v>
      </c>
      <c r="N65" s="2">
        <v>8.3999999999999995E-3</v>
      </c>
      <c r="O65">
        <f>2</f>
        <v>2</v>
      </c>
      <c r="P65">
        <f>1</f>
        <v>1</v>
      </c>
      <c r="Q65" t="s">
        <v>23</v>
      </c>
    </row>
    <row r="66" spans="1:17" x14ac:dyDescent="0.2">
      <c r="A66" t="s">
        <v>86</v>
      </c>
      <c r="B66">
        <v>104.37</v>
      </c>
      <c r="C66" s="1">
        <v>46260</v>
      </c>
      <c r="D66">
        <v>32</v>
      </c>
      <c r="E66">
        <v>3.26</v>
      </c>
      <c r="F66" s="2">
        <v>0.35549999999999998</v>
      </c>
      <c r="G66">
        <v>8.61</v>
      </c>
      <c r="H66" s="2">
        <v>8.2489999999999994E-2</v>
      </c>
      <c r="I66">
        <v>23475153277</v>
      </c>
      <c r="J66">
        <v>26018173406</v>
      </c>
      <c r="K66">
        <v>-0.17</v>
      </c>
      <c r="L66">
        <v>0.19</v>
      </c>
      <c r="M66" t="s">
        <v>18</v>
      </c>
      <c r="N66" s="2">
        <v>0.13819999999999999</v>
      </c>
      <c r="O66">
        <f>9</f>
        <v>9</v>
      </c>
      <c r="P66">
        <f>1</f>
        <v>1</v>
      </c>
      <c r="Q66" t="s">
        <v>21</v>
      </c>
    </row>
    <row r="67" spans="1:17" x14ac:dyDescent="0.2">
      <c r="A67" t="s">
        <v>87</v>
      </c>
      <c r="B67">
        <v>108.03</v>
      </c>
      <c r="C67" s="1">
        <v>46260</v>
      </c>
      <c r="D67">
        <v>27.04</v>
      </c>
      <c r="E67">
        <v>4</v>
      </c>
      <c r="F67" s="2">
        <v>7.5899999999999995E-2</v>
      </c>
      <c r="G67">
        <v>9.44</v>
      </c>
      <c r="H67" s="2">
        <v>8.7379999999999999E-2</v>
      </c>
      <c r="I67">
        <v>2689917623</v>
      </c>
      <c r="J67">
        <v>2432864546</v>
      </c>
      <c r="K67">
        <v>1.53</v>
      </c>
      <c r="L67">
        <v>0.62</v>
      </c>
      <c r="M67" t="s">
        <v>18</v>
      </c>
      <c r="N67" s="2">
        <v>0.14879999999999999</v>
      </c>
      <c r="O67">
        <f>4</f>
        <v>4</v>
      </c>
      <c r="P67">
        <f>1</f>
        <v>1</v>
      </c>
      <c r="Q67" t="s">
        <v>30</v>
      </c>
    </row>
    <row r="68" spans="1:17" x14ac:dyDescent="0.2">
      <c r="A68" t="s">
        <v>88</v>
      </c>
      <c r="B68">
        <v>461.02</v>
      </c>
      <c r="C68" s="1">
        <v>46260</v>
      </c>
      <c r="D68" t="s">
        <v>18</v>
      </c>
      <c r="E68" t="s">
        <v>18</v>
      </c>
      <c r="F68" t="s">
        <v>18</v>
      </c>
      <c r="G68">
        <v>9.09</v>
      </c>
      <c r="H68" s="2">
        <v>1.9720000000000001E-2</v>
      </c>
      <c r="I68" t="s">
        <v>18</v>
      </c>
      <c r="J68" t="s">
        <v>18</v>
      </c>
      <c r="K68">
        <v>2.56</v>
      </c>
      <c r="L68">
        <v>0.48</v>
      </c>
      <c r="M68" s="2">
        <v>6.4000000000000003E-3</v>
      </c>
      <c r="N68" s="2">
        <v>4.0099999999999997E-2</v>
      </c>
      <c r="O68">
        <f>7</f>
        <v>7</v>
      </c>
      <c r="P68">
        <f>3</f>
        <v>3</v>
      </c>
      <c r="Q68" t="s">
        <v>19</v>
      </c>
    </row>
    <row r="69" spans="1:17" x14ac:dyDescent="0.2">
      <c r="A69" t="s">
        <v>89</v>
      </c>
      <c r="B69">
        <v>128.77000000000001</v>
      </c>
      <c r="C69" s="1">
        <v>46260</v>
      </c>
      <c r="D69">
        <v>21.8</v>
      </c>
      <c r="E69">
        <v>5.91</v>
      </c>
      <c r="F69" s="2">
        <v>0.26740000000000003</v>
      </c>
      <c r="G69">
        <v>9.14</v>
      </c>
      <c r="H69" s="2">
        <v>7.0980000000000001E-2</v>
      </c>
      <c r="I69">
        <v>37007064381</v>
      </c>
      <c r="J69">
        <v>54152923589</v>
      </c>
      <c r="K69">
        <v>-0.06</v>
      </c>
      <c r="L69">
        <v>0.46</v>
      </c>
      <c r="M69" t="s">
        <v>18</v>
      </c>
      <c r="N69" s="2">
        <v>8.2100000000000006E-2</v>
      </c>
      <c r="O69">
        <f>2</f>
        <v>2</v>
      </c>
      <c r="P69">
        <f>1</f>
        <v>1</v>
      </c>
      <c r="Q69" t="s">
        <v>30</v>
      </c>
    </row>
    <row r="70" spans="1:17" x14ac:dyDescent="0.2">
      <c r="A70" t="s">
        <v>90</v>
      </c>
      <c r="B70">
        <v>66.78</v>
      </c>
      <c r="C70" s="1">
        <v>46260</v>
      </c>
      <c r="D70">
        <v>13.61</v>
      </c>
      <c r="E70">
        <v>4.91</v>
      </c>
      <c r="F70" s="2">
        <v>0.193</v>
      </c>
      <c r="G70">
        <v>10.34</v>
      </c>
      <c r="H70" s="2">
        <v>0.15484000000000001</v>
      </c>
      <c r="I70">
        <v>23500924825</v>
      </c>
      <c r="J70">
        <v>19337686611</v>
      </c>
      <c r="K70">
        <v>0.3</v>
      </c>
      <c r="L70">
        <v>0.57999999999999996</v>
      </c>
      <c r="M70" t="s">
        <v>18</v>
      </c>
      <c r="N70" s="2">
        <v>0.12189999999999999</v>
      </c>
      <c r="O70">
        <f>4</f>
        <v>4</v>
      </c>
      <c r="P70">
        <f>1</f>
        <v>1</v>
      </c>
      <c r="Q70" t="s">
        <v>21</v>
      </c>
    </row>
    <row r="71" spans="1:17" x14ac:dyDescent="0.2">
      <c r="A71" t="s">
        <v>91</v>
      </c>
      <c r="B71">
        <v>555.11</v>
      </c>
      <c r="C71" s="1">
        <v>46260</v>
      </c>
      <c r="D71">
        <v>48.33</v>
      </c>
      <c r="E71">
        <v>11.49</v>
      </c>
      <c r="F71" s="2">
        <v>0.26879999999999998</v>
      </c>
      <c r="G71">
        <v>9.92</v>
      </c>
      <c r="H71" s="2">
        <v>1.787E-2</v>
      </c>
      <c r="I71">
        <v>46684086237</v>
      </c>
      <c r="J71">
        <v>51240325899</v>
      </c>
      <c r="K71">
        <v>1.45</v>
      </c>
      <c r="L71">
        <v>1.2</v>
      </c>
      <c r="M71" t="s">
        <v>18</v>
      </c>
      <c r="N71" s="2">
        <v>0.13170000000000001</v>
      </c>
      <c r="O71">
        <f>8</f>
        <v>8</v>
      </c>
      <c r="P71">
        <f>1</f>
        <v>1</v>
      </c>
      <c r="Q71" t="s">
        <v>19</v>
      </c>
    </row>
    <row r="72" spans="1:17" x14ac:dyDescent="0.2">
      <c r="A72" t="s">
        <v>92</v>
      </c>
      <c r="B72">
        <v>20.91</v>
      </c>
      <c r="C72" s="1">
        <v>46260</v>
      </c>
      <c r="D72">
        <v>21.92</v>
      </c>
      <c r="E72">
        <v>0.95</v>
      </c>
      <c r="F72" s="2">
        <v>0.31209999999999999</v>
      </c>
      <c r="G72">
        <v>8.5399999999999991</v>
      </c>
      <c r="H72" s="2">
        <v>0.40838999999999998</v>
      </c>
      <c r="I72">
        <v>14437643309</v>
      </c>
      <c r="J72">
        <v>12806876279</v>
      </c>
      <c r="K72">
        <v>2.1</v>
      </c>
      <c r="L72">
        <v>1.29</v>
      </c>
      <c r="M72" t="s">
        <v>18</v>
      </c>
      <c r="N72" s="2">
        <v>0.13850000000000001</v>
      </c>
      <c r="O72">
        <f>2</f>
        <v>2</v>
      </c>
      <c r="P72">
        <f>1</f>
        <v>1</v>
      </c>
      <c r="Q72" t="s">
        <v>21</v>
      </c>
    </row>
    <row r="73" spans="1:17" x14ac:dyDescent="0.2">
      <c r="A73" t="s">
        <v>93</v>
      </c>
      <c r="B73">
        <v>80.36</v>
      </c>
      <c r="C73" s="1">
        <v>46260</v>
      </c>
      <c r="D73" t="s">
        <v>18</v>
      </c>
      <c r="E73" t="s">
        <v>18</v>
      </c>
      <c r="F73" t="s">
        <v>18</v>
      </c>
      <c r="G73">
        <v>13.34</v>
      </c>
      <c r="H73" s="2">
        <v>0.16600999999999999</v>
      </c>
      <c r="I73" t="s">
        <v>18</v>
      </c>
      <c r="J73" t="s">
        <v>18</v>
      </c>
      <c r="K73">
        <v>2.31</v>
      </c>
      <c r="L73">
        <v>1.1299999999999999</v>
      </c>
      <c r="M73" s="2">
        <v>5.9999999999999995E-4</v>
      </c>
      <c r="N73" s="2">
        <v>-4.1999999999999997E-3</v>
      </c>
      <c r="O73">
        <f>7</f>
        <v>7</v>
      </c>
      <c r="P73">
        <f>3</f>
        <v>3</v>
      </c>
      <c r="Q73" t="s">
        <v>30</v>
      </c>
    </row>
    <row r="74" spans="1:17" x14ac:dyDescent="0.2">
      <c r="A74" t="s">
        <v>94</v>
      </c>
      <c r="B74">
        <v>494.64</v>
      </c>
      <c r="C74" s="1">
        <v>46260</v>
      </c>
      <c r="D74">
        <v>36.69</v>
      </c>
      <c r="E74">
        <v>13.48</v>
      </c>
      <c r="F74" s="2">
        <v>0.31709999999999999</v>
      </c>
      <c r="G74">
        <v>2.63</v>
      </c>
      <c r="H74" s="2">
        <v>5.3200000000000001E-3</v>
      </c>
      <c r="I74">
        <v>25953002410</v>
      </c>
      <c r="J74">
        <v>28796428487</v>
      </c>
      <c r="K74">
        <v>0.25</v>
      </c>
      <c r="L74">
        <v>1.79</v>
      </c>
      <c r="M74" t="s">
        <v>18</v>
      </c>
      <c r="N74" s="2">
        <v>3.7199999999999997E-2</v>
      </c>
      <c r="O74">
        <f>4</f>
        <v>4</v>
      </c>
      <c r="P74">
        <f>1</f>
        <v>1</v>
      </c>
      <c r="Q74" t="s">
        <v>19</v>
      </c>
    </row>
    <row r="75" spans="1:17" x14ac:dyDescent="0.2">
      <c r="A75" t="s">
        <v>95</v>
      </c>
      <c r="B75">
        <v>64.55</v>
      </c>
      <c r="C75" s="1">
        <v>46260</v>
      </c>
      <c r="D75">
        <v>27.46</v>
      </c>
      <c r="E75">
        <v>2.35</v>
      </c>
      <c r="F75" s="2">
        <v>0.16239999999999999</v>
      </c>
      <c r="G75">
        <v>1.57</v>
      </c>
      <c r="H75" s="2">
        <v>2.4320000000000001E-2</v>
      </c>
      <c r="I75">
        <v>8049634384</v>
      </c>
      <c r="J75">
        <v>8759222235</v>
      </c>
      <c r="K75">
        <v>1.23</v>
      </c>
      <c r="L75">
        <v>1.23</v>
      </c>
      <c r="M75" t="s">
        <v>18</v>
      </c>
      <c r="N75" s="2">
        <v>3.0099999999999998E-2</v>
      </c>
      <c r="O75">
        <f>2</f>
        <v>2</v>
      </c>
      <c r="P75">
        <f>1</f>
        <v>1</v>
      </c>
      <c r="Q75" t="s">
        <v>30</v>
      </c>
    </row>
    <row r="76" spans="1:17" x14ac:dyDescent="0.2">
      <c r="A76" t="s">
        <v>96</v>
      </c>
      <c r="B76">
        <v>195.57</v>
      </c>
      <c r="C76" s="1">
        <v>46260</v>
      </c>
      <c r="D76" t="s">
        <v>18</v>
      </c>
      <c r="E76" t="s">
        <v>18</v>
      </c>
      <c r="F76" t="s">
        <v>18</v>
      </c>
      <c r="G76">
        <v>4.8499999999999996</v>
      </c>
      <c r="H76" s="2">
        <v>2.4799999999999999E-2</v>
      </c>
      <c r="I76" t="s">
        <v>18</v>
      </c>
      <c r="J76" t="s">
        <v>18</v>
      </c>
      <c r="K76">
        <v>3.37</v>
      </c>
      <c r="L76">
        <v>0.79</v>
      </c>
      <c r="M76" s="2">
        <v>6.3E-3</v>
      </c>
      <c r="N76" s="2">
        <v>0.14760000000000001</v>
      </c>
      <c r="O76">
        <f>7</f>
        <v>7</v>
      </c>
      <c r="P76">
        <f>2</f>
        <v>2</v>
      </c>
      <c r="Q76" t="s">
        <v>19</v>
      </c>
    </row>
    <row r="77" spans="1:17" x14ac:dyDescent="0.2">
      <c r="A77" t="s">
        <v>97</v>
      </c>
      <c r="B77">
        <v>13.19</v>
      </c>
      <c r="C77" s="1">
        <v>46260</v>
      </c>
      <c r="D77" t="s">
        <v>18</v>
      </c>
      <c r="E77" t="s">
        <v>18</v>
      </c>
      <c r="F77" t="s">
        <v>18</v>
      </c>
      <c r="G77">
        <v>7.78</v>
      </c>
      <c r="H77" s="2">
        <v>0.58965000000000001</v>
      </c>
      <c r="I77" t="s">
        <v>18</v>
      </c>
      <c r="J77" t="s">
        <v>18</v>
      </c>
      <c r="K77">
        <v>1.8</v>
      </c>
      <c r="L77">
        <v>0.95</v>
      </c>
      <c r="M77" s="2">
        <v>5.4999999999999997E-3</v>
      </c>
      <c r="N77" s="2">
        <v>-3.9699999999999999E-2</v>
      </c>
      <c r="O77">
        <f>7</f>
        <v>7</v>
      </c>
      <c r="P77">
        <f>3</f>
        <v>3</v>
      </c>
      <c r="Q77" t="s">
        <v>30</v>
      </c>
    </row>
    <row r="78" spans="1:17" x14ac:dyDescent="0.2">
      <c r="A78" t="s">
        <v>98</v>
      </c>
      <c r="B78">
        <v>128.27000000000001</v>
      </c>
      <c r="C78" s="1">
        <v>46260</v>
      </c>
      <c r="D78">
        <v>29.1</v>
      </c>
      <c r="E78">
        <v>4.41</v>
      </c>
      <c r="F78" s="2">
        <v>0.2944</v>
      </c>
      <c r="G78">
        <v>1.82</v>
      </c>
      <c r="H78" s="2">
        <v>1.4189999999999999E-2</v>
      </c>
      <c r="I78">
        <v>48657609322</v>
      </c>
      <c r="J78">
        <v>59664455250</v>
      </c>
      <c r="K78">
        <v>0.08</v>
      </c>
      <c r="L78">
        <v>0.37</v>
      </c>
      <c r="M78" t="s">
        <v>18</v>
      </c>
      <c r="N78" s="2">
        <v>6.0199999999999997E-2</v>
      </c>
      <c r="O78">
        <f>9</f>
        <v>9</v>
      </c>
      <c r="P78">
        <f>1</f>
        <v>1</v>
      </c>
      <c r="Q78" t="s">
        <v>23</v>
      </c>
    </row>
    <row r="79" spans="1:17" x14ac:dyDescent="0.2">
      <c r="A79" t="s">
        <v>99</v>
      </c>
      <c r="B79">
        <v>129.04</v>
      </c>
      <c r="C79" s="1">
        <v>46260</v>
      </c>
      <c r="D79">
        <v>55.21</v>
      </c>
      <c r="E79">
        <v>2.34</v>
      </c>
      <c r="F79" s="2">
        <v>0.21149999999999999</v>
      </c>
      <c r="G79">
        <v>1.76</v>
      </c>
      <c r="H79" s="2">
        <v>1.3639999999999999E-2</v>
      </c>
      <c r="I79">
        <v>41608837256</v>
      </c>
      <c r="J79">
        <v>47802847492</v>
      </c>
      <c r="K79">
        <v>2.2200000000000002</v>
      </c>
      <c r="L79">
        <v>0.97</v>
      </c>
      <c r="M79" t="s">
        <v>18</v>
      </c>
      <c r="N79" s="2">
        <v>4.7000000000000002E-3</v>
      </c>
      <c r="O79">
        <f>2</f>
        <v>2</v>
      </c>
      <c r="P79">
        <f>1</f>
        <v>1</v>
      </c>
      <c r="Q79" t="s">
        <v>30</v>
      </c>
    </row>
    <row r="80" spans="1:17" x14ac:dyDescent="0.2">
      <c r="A80" t="s">
        <v>100</v>
      </c>
      <c r="B80">
        <v>62.91</v>
      </c>
      <c r="C80" s="1">
        <v>46260</v>
      </c>
      <c r="D80" t="s">
        <v>18</v>
      </c>
      <c r="E80" t="s">
        <v>18</v>
      </c>
      <c r="F80" t="s">
        <v>18</v>
      </c>
      <c r="G80">
        <v>2.17</v>
      </c>
      <c r="H80" s="2">
        <v>3.449E-2</v>
      </c>
      <c r="I80" t="s">
        <v>18</v>
      </c>
      <c r="J80" t="s">
        <v>18</v>
      </c>
      <c r="K80">
        <v>-0.14000000000000001</v>
      </c>
      <c r="L80">
        <v>1.1200000000000001</v>
      </c>
      <c r="M80" s="2">
        <v>8.9999999999999993E-3</v>
      </c>
      <c r="N80" s="2">
        <v>-2.2700000000000001E-2</v>
      </c>
      <c r="O80">
        <f>7</f>
        <v>7</v>
      </c>
      <c r="P80">
        <f>3</f>
        <v>3</v>
      </c>
      <c r="Q80" t="s">
        <v>30</v>
      </c>
    </row>
    <row r="81" spans="1:17" x14ac:dyDescent="0.2">
      <c r="A81" t="s">
        <v>101</v>
      </c>
      <c r="B81">
        <v>465.88</v>
      </c>
      <c r="C81" s="1">
        <v>46260</v>
      </c>
      <c r="D81">
        <v>51.99</v>
      </c>
      <c r="E81">
        <v>8.9600000000000009</v>
      </c>
      <c r="F81" s="2">
        <v>0.16900000000000001</v>
      </c>
      <c r="G81">
        <v>11.82</v>
      </c>
      <c r="H81" s="2">
        <v>2.537E-2</v>
      </c>
      <c r="I81">
        <v>13365961426</v>
      </c>
      <c r="J81">
        <v>10716770151</v>
      </c>
      <c r="K81">
        <v>2.27</v>
      </c>
      <c r="L81">
        <v>1.52</v>
      </c>
      <c r="M81" t="s">
        <v>18</v>
      </c>
      <c r="N81" s="2">
        <v>6.6000000000000003E-2</v>
      </c>
      <c r="O81">
        <f>4</f>
        <v>4</v>
      </c>
      <c r="P81">
        <f>1</f>
        <v>1</v>
      </c>
      <c r="Q81" t="s">
        <v>19</v>
      </c>
    </row>
    <row r="82" spans="1:17" x14ac:dyDescent="0.2">
      <c r="A82" t="s">
        <v>102</v>
      </c>
      <c r="B82">
        <v>73.010000000000005</v>
      </c>
      <c r="C82" s="1">
        <v>46260</v>
      </c>
      <c r="D82">
        <v>23.98</v>
      </c>
      <c r="E82">
        <v>3.04</v>
      </c>
      <c r="F82" s="2">
        <v>0.2432</v>
      </c>
      <c r="G82">
        <v>8.15</v>
      </c>
      <c r="H82" s="2">
        <v>0.11162</v>
      </c>
      <c r="I82">
        <v>22772677397</v>
      </c>
      <c r="J82">
        <v>23347554170</v>
      </c>
      <c r="K82">
        <v>-0.15</v>
      </c>
      <c r="L82">
        <v>1.29</v>
      </c>
      <c r="M82" t="s">
        <v>18</v>
      </c>
      <c r="N82" s="2">
        <v>6.4399999999999999E-2</v>
      </c>
      <c r="O82">
        <f>3</f>
        <v>3</v>
      </c>
      <c r="P82">
        <f>1</f>
        <v>1</v>
      </c>
      <c r="Q82" t="s">
        <v>30</v>
      </c>
    </row>
    <row r="83" spans="1:17" x14ac:dyDescent="0.2">
      <c r="A83" t="s">
        <v>103</v>
      </c>
      <c r="B83">
        <v>50</v>
      </c>
      <c r="C83" s="1">
        <v>46260</v>
      </c>
      <c r="D83">
        <v>22.5</v>
      </c>
      <c r="E83">
        <v>2.2200000000000002</v>
      </c>
      <c r="F83" s="2">
        <v>0.2155</v>
      </c>
      <c r="G83">
        <v>13.7</v>
      </c>
      <c r="H83" s="2">
        <v>0.27400000000000002</v>
      </c>
      <c r="I83">
        <v>19067745035</v>
      </c>
      <c r="J83">
        <v>28446974352</v>
      </c>
      <c r="K83">
        <v>2.57</v>
      </c>
      <c r="L83">
        <v>1.21</v>
      </c>
      <c r="M83" t="s">
        <v>18</v>
      </c>
      <c r="N83" s="2">
        <v>-1.9599999999999999E-2</v>
      </c>
      <c r="O83">
        <f>2</f>
        <v>2</v>
      </c>
      <c r="P83">
        <f>1</f>
        <v>1</v>
      </c>
      <c r="Q83" t="s">
        <v>21</v>
      </c>
    </row>
    <row r="84" spans="1:17" x14ac:dyDescent="0.2">
      <c r="A84" t="s">
        <v>104</v>
      </c>
      <c r="B84">
        <v>306.35000000000002</v>
      </c>
      <c r="C84" s="1">
        <v>46260</v>
      </c>
      <c r="D84">
        <v>37.46</v>
      </c>
      <c r="E84">
        <v>8.18</v>
      </c>
      <c r="F84" s="2">
        <v>0.35439999999999999</v>
      </c>
      <c r="G84">
        <v>13.11</v>
      </c>
      <c r="H84" s="2">
        <v>4.2790000000000002E-2</v>
      </c>
      <c r="I84">
        <v>22020907426</v>
      </c>
      <c r="J84">
        <v>25724070076</v>
      </c>
      <c r="K84">
        <v>1.06</v>
      </c>
      <c r="L84">
        <v>1.33</v>
      </c>
      <c r="M84" t="s">
        <v>18</v>
      </c>
      <c r="N84" s="2">
        <v>3.2000000000000001E-2</v>
      </c>
      <c r="O84">
        <f>5</f>
        <v>5</v>
      </c>
      <c r="P84">
        <f>1</f>
        <v>1</v>
      </c>
      <c r="Q84" t="s">
        <v>19</v>
      </c>
    </row>
    <row r="85" spans="1:17" x14ac:dyDescent="0.2">
      <c r="A85" t="s">
        <v>105</v>
      </c>
      <c r="B85">
        <v>94.05</v>
      </c>
      <c r="C85" s="1">
        <v>46260</v>
      </c>
      <c r="D85">
        <v>19.579999999999998</v>
      </c>
      <c r="E85">
        <v>4.8</v>
      </c>
      <c r="F85" s="2">
        <v>0.2681</v>
      </c>
      <c r="G85">
        <v>5.96</v>
      </c>
      <c r="H85" s="2">
        <v>6.3369999999999996E-2</v>
      </c>
      <c r="I85">
        <v>4024962875</v>
      </c>
      <c r="J85">
        <v>4145695308</v>
      </c>
      <c r="K85">
        <v>2.0299999999999998</v>
      </c>
      <c r="L85">
        <v>1.01</v>
      </c>
      <c r="M85" t="s">
        <v>18</v>
      </c>
      <c r="N85" s="2">
        <v>0.14080000000000001</v>
      </c>
      <c r="O85">
        <f>2</f>
        <v>2</v>
      </c>
      <c r="P85">
        <f>1</f>
        <v>1</v>
      </c>
      <c r="Q85" t="s">
        <v>21</v>
      </c>
    </row>
    <row r="86" spans="1:17" x14ac:dyDescent="0.2">
      <c r="A86" t="s">
        <v>106</v>
      </c>
      <c r="B86">
        <v>14.95</v>
      </c>
      <c r="C86" s="1">
        <v>46260</v>
      </c>
      <c r="D86">
        <v>39.71</v>
      </c>
      <c r="E86">
        <v>0.38</v>
      </c>
      <c r="F86" s="2">
        <v>0.37230000000000002</v>
      </c>
      <c r="G86">
        <v>14.96</v>
      </c>
      <c r="H86" s="2">
        <v>1.0006699999999999</v>
      </c>
      <c r="I86">
        <v>37340850673</v>
      </c>
      <c r="J86">
        <v>41216085288</v>
      </c>
      <c r="K86">
        <v>-0.56000000000000005</v>
      </c>
      <c r="L86">
        <v>1.18</v>
      </c>
      <c r="M86" t="s">
        <v>18</v>
      </c>
      <c r="N86" s="2">
        <v>0.1245</v>
      </c>
      <c r="O86">
        <f>8</f>
        <v>8</v>
      </c>
      <c r="P86">
        <f>1</f>
        <v>1</v>
      </c>
      <c r="Q86" t="s">
        <v>30</v>
      </c>
    </row>
    <row r="87" spans="1:17" x14ac:dyDescent="0.2">
      <c r="A87" t="s">
        <v>107</v>
      </c>
      <c r="B87">
        <v>43.48</v>
      </c>
      <c r="C87" s="1">
        <v>46260</v>
      </c>
      <c r="D87">
        <v>6.59</v>
      </c>
      <c r="E87">
        <v>6.6</v>
      </c>
      <c r="F87" s="2">
        <v>0.16350000000000001</v>
      </c>
      <c r="G87">
        <v>0.84</v>
      </c>
      <c r="H87" s="2">
        <v>1.932E-2</v>
      </c>
      <c r="I87">
        <v>17929582481</v>
      </c>
      <c r="J87">
        <v>19749089985</v>
      </c>
      <c r="K87">
        <v>0.1</v>
      </c>
      <c r="L87">
        <v>0.8</v>
      </c>
      <c r="M87" t="s">
        <v>18</v>
      </c>
      <c r="N87" s="2">
        <v>8.6400000000000005E-2</v>
      </c>
      <c r="O87">
        <f>8</f>
        <v>8</v>
      </c>
      <c r="P87">
        <f>1</f>
        <v>1</v>
      </c>
      <c r="Q87" t="s">
        <v>30</v>
      </c>
    </row>
    <row r="88" spans="1:17" x14ac:dyDescent="0.2">
      <c r="A88" t="s">
        <v>108</v>
      </c>
      <c r="B88">
        <v>10.58</v>
      </c>
      <c r="C88" s="1">
        <v>46260</v>
      </c>
      <c r="D88">
        <v>52.9</v>
      </c>
      <c r="E88">
        <v>0.2</v>
      </c>
      <c r="F88" s="2">
        <v>0.26690000000000003</v>
      </c>
      <c r="G88">
        <v>3.61</v>
      </c>
      <c r="H88" s="2">
        <v>0.34116000000000002</v>
      </c>
      <c r="I88">
        <v>45642322511</v>
      </c>
      <c r="J88">
        <v>41086415606</v>
      </c>
      <c r="K88">
        <v>1.08</v>
      </c>
      <c r="L88">
        <v>0.53</v>
      </c>
      <c r="M88" t="s">
        <v>18</v>
      </c>
      <c r="N88" s="2">
        <v>1.1000000000000001E-3</v>
      </c>
      <c r="O88">
        <f>1</f>
        <v>1</v>
      </c>
      <c r="P88">
        <f>1</f>
        <v>1</v>
      </c>
      <c r="Q88" t="s">
        <v>21</v>
      </c>
    </row>
    <row r="89" spans="1:17" x14ac:dyDescent="0.2">
      <c r="A89" t="s">
        <v>109</v>
      </c>
      <c r="B89">
        <v>284.5</v>
      </c>
      <c r="C89" s="1">
        <v>46260</v>
      </c>
      <c r="D89">
        <v>20.82</v>
      </c>
      <c r="E89">
        <v>13.66</v>
      </c>
      <c r="F89" s="2">
        <v>0.24129999999999999</v>
      </c>
      <c r="G89">
        <v>1.1100000000000001</v>
      </c>
      <c r="H89" s="2">
        <v>3.8999999999999998E-3</v>
      </c>
      <c r="I89">
        <v>47262329390</v>
      </c>
      <c r="J89">
        <v>70484967331</v>
      </c>
      <c r="K89">
        <v>0.35</v>
      </c>
      <c r="L89">
        <v>1.74</v>
      </c>
      <c r="M89" t="s">
        <v>18</v>
      </c>
      <c r="N89" s="2">
        <v>8.8099999999999998E-2</v>
      </c>
      <c r="O89">
        <f>2</f>
        <v>2</v>
      </c>
      <c r="P89">
        <f>1</f>
        <v>1</v>
      </c>
      <c r="Q89" t="s">
        <v>19</v>
      </c>
    </row>
    <row r="90" spans="1:17" x14ac:dyDescent="0.2">
      <c r="A90" t="s">
        <v>110</v>
      </c>
      <c r="B90">
        <v>129.91999999999999</v>
      </c>
      <c r="C90" s="1">
        <v>46260</v>
      </c>
      <c r="D90">
        <v>51.93</v>
      </c>
      <c r="E90">
        <v>2.5</v>
      </c>
      <c r="F90" s="2">
        <v>8.7300000000000003E-2</v>
      </c>
      <c r="G90">
        <v>5.72</v>
      </c>
      <c r="H90" s="2">
        <v>4.403E-2</v>
      </c>
      <c r="I90">
        <v>17954368287</v>
      </c>
      <c r="J90">
        <v>18082035931</v>
      </c>
      <c r="K90">
        <v>2.15</v>
      </c>
      <c r="L90">
        <v>0.14000000000000001</v>
      </c>
      <c r="M90" t="s">
        <v>18</v>
      </c>
      <c r="N90" s="2">
        <v>0.11600000000000001</v>
      </c>
      <c r="O90">
        <f>2</f>
        <v>2</v>
      </c>
      <c r="P90">
        <f>1</f>
        <v>1</v>
      </c>
      <c r="Q90" t="s">
        <v>30</v>
      </c>
    </row>
    <row r="91" spans="1:17" x14ac:dyDescent="0.2">
      <c r="A91" t="s">
        <v>111</v>
      </c>
      <c r="B91">
        <v>76.39</v>
      </c>
      <c r="C91" s="1">
        <v>46260</v>
      </c>
      <c r="D91">
        <v>42.72</v>
      </c>
      <c r="E91">
        <v>1.79</v>
      </c>
      <c r="F91" s="2">
        <v>0.31059999999999999</v>
      </c>
      <c r="G91">
        <v>0.74</v>
      </c>
      <c r="H91" s="2">
        <v>9.6900000000000007E-3</v>
      </c>
      <c r="I91">
        <v>30324260588</v>
      </c>
      <c r="J91">
        <v>34803429844</v>
      </c>
      <c r="K91">
        <v>3.07</v>
      </c>
      <c r="L91">
        <v>0.59</v>
      </c>
      <c r="M91" t="s">
        <v>18</v>
      </c>
      <c r="N91" s="2">
        <v>0.10979999999999999</v>
      </c>
      <c r="O91">
        <f>9</f>
        <v>9</v>
      </c>
      <c r="P91">
        <f>1</f>
        <v>1</v>
      </c>
      <c r="Q91" t="s">
        <v>30</v>
      </c>
    </row>
    <row r="92" spans="1:17" x14ac:dyDescent="0.2">
      <c r="A92" t="s">
        <v>112</v>
      </c>
      <c r="B92">
        <v>29.03</v>
      </c>
      <c r="C92" s="1">
        <v>46260</v>
      </c>
      <c r="D92">
        <v>18.78</v>
      </c>
      <c r="E92">
        <v>1.55</v>
      </c>
      <c r="F92" s="2">
        <v>0.3145</v>
      </c>
      <c r="G92">
        <v>11.51</v>
      </c>
      <c r="H92" s="2">
        <v>0.39645999999999998</v>
      </c>
      <c r="I92">
        <v>34045946158</v>
      </c>
      <c r="J92">
        <v>30496501938</v>
      </c>
      <c r="K92">
        <v>-0.56000000000000005</v>
      </c>
      <c r="L92">
        <v>1.17</v>
      </c>
      <c r="M92" t="s">
        <v>18</v>
      </c>
      <c r="N92" s="2">
        <v>-4.2099999999999999E-2</v>
      </c>
      <c r="O92">
        <f>8</f>
        <v>8</v>
      </c>
      <c r="P92">
        <f>1</f>
        <v>1</v>
      </c>
      <c r="Q92" t="s">
        <v>23</v>
      </c>
    </row>
    <row r="93" spans="1:17" x14ac:dyDescent="0.2">
      <c r="A93" t="s">
        <v>113</v>
      </c>
      <c r="B93">
        <v>51.56</v>
      </c>
      <c r="C93" s="1">
        <v>46260</v>
      </c>
      <c r="D93">
        <v>12.23</v>
      </c>
      <c r="E93">
        <v>4.22</v>
      </c>
      <c r="F93" s="2">
        <v>0.36840000000000001</v>
      </c>
      <c r="G93">
        <v>4.9000000000000004</v>
      </c>
      <c r="H93" s="2">
        <v>9.5030000000000003E-2</v>
      </c>
      <c r="I93">
        <v>20780999640</v>
      </c>
      <c r="J93">
        <v>19545701300</v>
      </c>
      <c r="K93">
        <v>2.54</v>
      </c>
      <c r="L93">
        <v>1.59</v>
      </c>
      <c r="M93" t="s">
        <v>18</v>
      </c>
      <c r="N93" s="2">
        <v>2.3199999999999998E-2</v>
      </c>
      <c r="O93">
        <f>8</f>
        <v>8</v>
      </c>
      <c r="P93">
        <f>1</f>
        <v>1</v>
      </c>
      <c r="Q93" t="s">
        <v>30</v>
      </c>
    </row>
    <row r="94" spans="1:17" x14ac:dyDescent="0.2">
      <c r="A94" t="s">
        <v>114</v>
      </c>
      <c r="B94">
        <v>38.03</v>
      </c>
      <c r="C94" s="1">
        <v>46260</v>
      </c>
      <c r="D94">
        <v>50.36</v>
      </c>
      <c r="E94">
        <v>0.76</v>
      </c>
      <c r="F94" s="2">
        <v>0.21859999999999999</v>
      </c>
      <c r="G94">
        <v>12.1</v>
      </c>
      <c r="H94" s="2">
        <v>0.31820999999999999</v>
      </c>
      <c r="I94">
        <v>37330501942</v>
      </c>
      <c r="J94">
        <v>38715488861</v>
      </c>
      <c r="K94">
        <v>-0.48</v>
      </c>
      <c r="L94">
        <v>1.74</v>
      </c>
      <c r="M94" t="s">
        <v>18</v>
      </c>
      <c r="N94" s="2">
        <v>-2.18E-2</v>
      </c>
      <c r="O94">
        <f>5</f>
        <v>5</v>
      </c>
      <c r="P94">
        <f>1</f>
        <v>1</v>
      </c>
      <c r="Q94" t="s">
        <v>23</v>
      </c>
    </row>
    <row r="95" spans="1:17" x14ac:dyDescent="0.2">
      <c r="A95" t="s">
        <v>115</v>
      </c>
      <c r="B95">
        <v>81.319999999999993</v>
      </c>
      <c r="C95" s="1">
        <v>46260</v>
      </c>
      <c r="D95">
        <v>26.86</v>
      </c>
      <c r="E95">
        <v>3.03</v>
      </c>
      <c r="F95" s="2">
        <v>0.34599999999999997</v>
      </c>
      <c r="G95">
        <v>8.36</v>
      </c>
      <c r="H95" s="2">
        <v>0.1028</v>
      </c>
      <c r="I95">
        <v>4524240749</v>
      </c>
      <c r="J95">
        <v>4868997812</v>
      </c>
      <c r="K95">
        <v>0.19</v>
      </c>
      <c r="L95">
        <v>0.31</v>
      </c>
      <c r="M95" t="s">
        <v>18</v>
      </c>
      <c r="N95" s="2">
        <v>2.3699999999999999E-2</v>
      </c>
      <c r="O95">
        <f>8</f>
        <v>8</v>
      </c>
      <c r="P95">
        <f>1</f>
        <v>1</v>
      </c>
      <c r="Q95" t="s">
        <v>21</v>
      </c>
    </row>
    <row r="96" spans="1:17" x14ac:dyDescent="0.2">
      <c r="A96" t="s">
        <v>116</v>
      </c>
      <c r="B96">
        <v>129.97</v>
      </c>
      <c r="C96" s="1">
        <v>46260</v>
      </c>
      <c r="D96" t="s">
        <v>18</v>
      </c>
      <c r="E96" t="s">
        <v>18</v>
      </c>
      <c r="F96" t="s">
        <v>18</v>
      </c>
      <c r="G96">
        <v>1.63</v>
      </c>
      <c r="H96" s="2">
        <v>1.2540000000000001E-2</v>
      </c>
      <c r="I96" t="s">
        <v>18</v>
      </c>
      <c r="J96" t="s">
        <v>18</v>
      </c>
      <c r="K96">
        <v>0.05</v>
      </c>
      <c r="L96">
        <v>0.14000000000000001</v>
      </c>
      <c r="M96" s="2">
        <v>1.06E-2</v>
      </c>
      <c r="N96" s="2">
        <v>6.2300000000000001E-2</v>
      </c>
      <c r="O96">
        <f>7</f>
        <v>7</v>
      </c>
      <c r="P96">
        <f>2</f>
        <v>2</v>
      </c>
      <c r="Q96" t="s">
        <v>23</v>
      </c>
    </row>
    <row r="97" spans="1:17" x14ac:dyDescent="0.2">
      <c r="A97" t="s">
        <v>117</v>
      </c>
      <c r="B97">
        <v>76.69</v>
      </c>
      <c r="C97" s="1">
        <v>46260</v>
      </c>
      <c r="D97">
        <v>30.53</v>
      </c>
      <c r="E97">
        <v>2.5099999999999998</v>
      </c>
      <c r="F97" s="2">
        <v>0.2954</v>
      </c>
      <c r="G97">
        <v>9.74</v>
      </c>
      <c r="H97" s="2">
        <v>0.12701000000000001</v>
      </c>
      <c r="I97">
        <v>5842630076</v>
      </c>
      <c r="J97">
        <v>4859565310</v>
      </c>
      <c r="K97">
        <v>-0.83</v>
      </c>
      <c r="L97">
        <v>1.79</v>
      </c>
      <c r="M97" t="s">
        <v>18</v>
      </c>
      <c r="N97" s="2">
        <v>-2.6800000000000001E-2</v>
      </c>
      <c r="O97">
        <f>9</f>
        <v>9</v>
      </c>
      <c r="P97">
        <f>1</f>
        <v>1</v>
      </c>
      <c r="Q97" t="s">
        <v>21</v>
      </c>
    </row>
    <row r="98" spans="1:17" x14ac:dyDescent="0.2">
      <c r="A98" t="s">
        <v>118</v>
      </c>
      <c r="B98">
        <v>17.32</v>
      </c>
      <c r="C98" s="1">
        <v>46260</v>
      </c>
      <c r="D98" t="s">
        <v>18</v>
      </c>
      <c r="E98" t="s">
        <v>18</v>
      </c>
      <c r="F98" t="s">
        <v>18</v>
      </c>
      <c r="G98">
        <v>6.8</v>
      </c>
      <c r="H98" s="2">
        <v>0.39267999999999997</v>
      </c>
      <c r="I98" t="s">
        <v>18</v>
      </c>
      <c r="J98" t="s">
        <v>18</v>
      </c>
      <c r="K98">
        <v>2.02</v>
      </c>
      <c r="L98">
        <v>1.36</v>
      </c>
      <c r="M98" s="2">
        <v>1.14E-2</v>
      </c>
      <c r="N98" s="2">
        <v>3.3799999999999997E-2</v>
      </c>
      <c r="O98">
        <f>7</f>
        <v>7</v>
      </c>
      <c r="P98">
        <f>3</f>
        <v>3</v>
      </c>
      <c r="Q98" t="s">
        <v>21</v>
      </c>
    </row>
    <row r="99" spans="1:17" x14ac:dyDescent="0.2">
      <c r="A99" t="s">
        <v>119</v>
      </c>
      <c r="B99">
        <v>79</v>
      </c>
      <c r="C99" s="1">
        <v>46260</v>
      </c>
      <c r="D99" t="s">
        <v>18</v>
      </c>
      <c r="E99" t="s">
        <v>18</v>
      </c>
      <c r="F99" t="s">
        <v>18</v>
      </c>
      <c r="G99">
        <v>12.51</v>
      </c>
      <c r="H99" s="2">
        <v>0.15834000000000001</v>
      </c>
      <c r="I99" t="s">
        <v>18</v>
      </c>
      <c r="J99" t="s">
        <v>18</v>
      </c>
      <c r="K99">
        <v>1.77</v>
      </c>
      <c r="L99">
        <v>1.7</v>
      </c>
      <c r="M99" s="2">
        <v>3.5999999999999999E-3</v>
      </c>
      <c r="N99" s="2">
        <v>8.8099999999999998E-2</v>
      </c>
      <c r="O99">
        <f>7</f>
        <v>7</v>
      </c>
      <c r="P99">
        <f>3</f>
        <v>3</v>
      </c>
      <c r="Q99" t="s">
        <v>21</v>
      </c>
    </row>
    <row r="100" spans="1:17" x14ac:dyDescent="0.2">
      <c r="A100" t="s">
        <v>120</v>
      </c>
      <c r="B100">
        <v>114.13</v>
      </c>
      <c r="C100" s="1">
        <v>46260</v>
      </c>
      <c r="D100" t="s">
        <v>18</v>
      </c>
      <c r="E100" t="s">
        <v>18</v>
      </c>
      <c r="F100" t="s">
        <v>18</v>
      </c>
      <c r="G100">
        <v>12.83</v>
      </c>
      <c r="H100" s="2">
        <v>0.11242000000000001</v>
      </c>
      <c r="I100" t="s">
        <v>18</v>
      </c>
      <c r="J100" t="s">
        <v>18</v>
      </c>
      <c r="K100">
        <v>-0.55000000000000004</v>
      </c>
      <c r="L100">
        <v>1.27</v>
      </c>
      <c r="M100" s="2">
        <v>6.7000000000000002E-3</v>
      </c>
      <c r="N100" s="2">
        <v>0.14560000000000001</v>
      </c>
      <c r="O100">
        <f>7</f>
        <v>7</v>
      </c>
      <c r="P100">
        <f>3</f>
        <v>3</v>
      </c>
      <c r="Q100" t="s">
        <v>21</v>
      </c>
    </row>
    <row r="101" spans="1:17" x14ac:dyDescent="0.2">
      <c r="A101" t="s">
        <v>121</v>
      </c>
      <c r="B101">
        <v>57.02</v>
      </c>
      <c r="C101" s="1">
        <v>46260</v>
      </c>
      <c r="D101">
        <v>15.44</v>
      </c>
      <c r="E101">
        <v>3.69</v>
      </c>
      <c r="F101" s="2">
        <v>9.2799999999999994E-2</v>
      </c>
      <c r="G101">
        <v>12.72</v>
      </c>
      <c r="H101" s="2">
        <v>0.22308</v>
      </c>
      <c r="I101">
        <v>22741321254</v>
      </c>
      <c r="J101">
        <v>28743622755</v>
      </c>
      <c r="K101">
        <v>1.89</v>
      </c>
      <c r="L101">
        <v>1.1200000000000001</v>
      </c>
      <c r="M101" t="s">
        <v>18</v>
      </c>
      <c r="N101" s="2">
        <v>-4.5699999999999998E-2</v>
      </c>
      <c r="O101">
        <f>4</f>
        <v>4</v>
      </c>
      <c r="P101">
        <f>1</f>
        <v>1</v>
      </c>
      <c r="Q101" t="s">
        <v>23</v>
      </c>
    </row>
  </sheetData>
  <autoFilter ref="A1:Q101" xr:uid="{41A9D997-3A97-BD46-ABB1-7D9CDB938328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Poorva Vakharia</cp:lastModifiedBy>
  <dcterms:created xsi:type="dcterms:W3CDTF">2026-08-27T00:47:53Z</dcterms:created>
  <dcterms:modified xsi:type="dcterms:W3CDTF">2026-08-27T01:53:18Z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2026-08-27T00:59:19Z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d0be2f90-b7a7-43e1-8e31-cd7a65b62259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50, 3, 0, 1</vt:lpwstr>
  </property>
</Properties>
</file>